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674\OneDrive\Desktop\projects\"/>
    </mc:Choice>
  </mc:AlternateContent>
  <xr:revisionPtr revIDLastSave="0" documentId="8_{752D7B64-FAD1-4D9B-86DB-F6B052EF0C3F}" xr6:coauthVersionLast="47" xr6:coauthVersionMax="47" xr10:uidLastSave="{00000000-0000-0000-0000-000000000000}"/>
  <bookViews>
    <workbookView xWindow="-110" yWindow="-110" windowWidth="19420" windowHeight="10300" xr2:uid="{8327AEEB-C104-425C-B29C-308FC4CF369D}"/>
  </bookViews>
  <sheets>
    <sheet name="📊 Dashboard" sheetId="2" r:id="rId1"/>
    <sheet name="📈 Analytics" sheetId="4" r:id="rId2"/>
    <sheet name="📋 Task List" sheetId="3" r:id="rId3"/>
  </sheets>
  <definedNames>
    <definedName name="_xlnm._FilterDatabase" localSheetId="2" hidden="1">'📋 Task List'!$A$2:$L$102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6" i="2"/>
  <c r="B5" i="4" l="1"/>
  <c r="B6" i="4"/>
  <c r="B7" i="4"/>
  <c r="B8" i="4"/>
  <c r="B15" i="4"/>
  <c r="B16" i="4"/>
  <c r="B17" i="4"/>
  <c r="B18" i="4"/>
  <c r="E6" i="2"/>
  <c r="H6" i="2"/>
  <c r="K6" i="2"/>
  <c r="B11" i="2"/>
  <c r="D16" i="2"/>
  <c r="D17" i="2"/>
  <c r="D18" i="2"/>
  <c r="D19" i="2"/>
  <c r="F16" i="2" l="1"/>
  <c r="C16" i="4"/>
  <c r="F17" i="2"/>
  <c r="C18" i="4"/>
  <c r="C17" i="4"/>
  <c r="C15" i="4"/>
  <c r="C6" i="4"/>
  <c r="C9" i="4"/>
  <c r="C7" i="4"/>
  <c r="C5" i="4"/>
  <c r="C8" i="4"/>
  <c r="F19" i="2"/>
  <c r="F18" i="2"/>
</calcChain>
</file>

<file path=xl/sharedStrings.xml><?xml version="1.0" encoding="utf-8"?>
<sst xmlns="http://schemas.openxmlformats.org/spreadsheetml/2006/main" count="375" uniqueCount="187">
  <si>
    <t>🟢 Low</t>
  </si>
  <si>
    <t>🟡 Medium</t>
  </si>
  <si>
    <t>🟠 High</t>
  </si>
  <si>
    <t>🔴 Critical</t>
  </si>
  <si>
    <t>% of Total</t>
  </si>
  <si>
    <t>Count</t>
  </si>
  <si>
    <t>Priority</t>
  </si>
  <si>
    <t>PRIORITY BREAKDOWN</t>
  </si>
  <si>
    <t>COMPLETION RATE</t>
  </si>
  <si>
    <t>🔥 OVERDUE</t>
  </si>
  <si>
    <t>✅ COMPLETED</t>
  </si>
  <si>
    <t>🔄 IN PROGRESS</t>
  </si>
  <si>
    <t>📋 TOTAL TASKS</t>
  </si>
  <si>
    <t>Low</t>
  </si>
  <si>
    <t>Not Started</t>
  </si>
  <si>
    <t>Operations</t>
  </si>
  <si>
    <t>TSK-030</t>
  </si>
  <si>
    <t>High</t>
  </si>
  <si>
    <t>Finance</t>
  </si>
  <si>
    <t>TSK-029</t>
  </si>
  <si>
    <t>Medium</t>
  </si>
  <si>
    <t>Completed</t>
  </si>
  <si>
    <t>TSK-028</t>
  </si>
  <si>
    <t>TSK-027</t>
  </si>
  <si>
    <t>In Progress</t>
  </si>
  <si>
    <t>TSK-026</t>
  </si>
  <si>
    <t>TSK-025</t>
  </si>
  <si>
    <t>TSK-024</t>
  </si>
  <si>
    <t>Critical</t>
  </si>
  <si>
    <t>TSK-023</t>
  </si>
  <si>
    <t>Product</t>
  </si>
  <si>
    <t>TSK-022</t>
  </si>
  <si>
    <t>TSK-021</t>
  </si>
  <si>
    <t>TSK-020</t>
  </si>
  <si>
    <t>TSK-019</t>
  </si>
  <si>
    <t>TSK-018</t>
  </si>
  <si>
    <t>TSK-017</t>
  </si>
  <si>
    <t>TSK-016</t>
  </si>
  <si>
    <t>TSK-015</t>
  </si>
  <si>
    <t>TSK-014</t>
  </si>
  <si>
    <t>TSK-013</t>
  </si>
  <si>
    <t>TSK-012</t>
  </si>
  <si>
    <t>TSK-011</t>
  </si>
  <si>
    <t>TSK-010</t>
  </si>
  <si>
    <t>TSK-009</t>
  </si>
  <si>
    <t>TSK-008</t>
  </si>
  <si>
    <t>TSK-007</t>
  </si>
  <si>
    <t>TSK-006</t>
  </si>
  <si>
    <t>TSK-005</t>
  </si>
  <si>
    <t>TSK-004</t>
  </si>
  <si>
    <t>TSK-003</t>
  </si>
  <si>
    <t>TSK-002</t>
  </si>
  <si>
    <t>TSK-001</t>
  </si>
  <si>
    <t>Notes</t>
  </si>
  <si>
    <t>Progress %</t>
  </si>
  <si>
    <t>Status</t>
  </si>
  <si>
    <t>Due Date</t>
  </si>
  <si>
    <t>Assigned To</t>
  </si>
  <si>
    <t>Category</t>
  </si>
  <si>
    <t>Description</t>
  </si>
  <si>
    <t>Task Name</t>
  </si>
  <si>
    <t>Task ID</t>
  </si>
  <si>
    <t>#</t>
  </si>
  <si>
    <t>📋  TASK LIST</t>
  </si>
  <si>
    <t>Percentage</t>
  </si>
  <si>
    <t>Cancelled</t>
  </si>
  <si>
    <t>On Hold</t>
  </si>
  <si>
    <t>STATUS SUMMARY</t>
  </si>
  <si>
    <t>📈  TASK ANALYTICS</t>
  </si>
  <si>
    <t>Umair Ahmed</t>
  </si>
  <si>
    <t>Testing</t>
  </si>
  <si>
    <t>TSK-031</t>
  </si>
  <si>
    <t>TSK-032</t>
  </si>
  <si>
    <t>TSK-033</t>
  </si>
  <si>
    <t>TSK-034</t>
  </si>
  <si>
    <t>TSK-035</t>
  </si>
  <si>
    <t>TSK-036</t>
  </si>
  <si>
    <t>TSK-037</t>
  </si>
  <si>
    <t>TSK-038</t>
  </si>
  <si>
    <t>TSK-039</t>
  </si>
  <si>
    <t>TSK-040</t>
  </si>
  <si>
    <t>TSK-041</t>
  </si>
  <si>
    <t>TSK-042</t>
  </si>
  <si>
    <t>TSK-043</t>
  </si>
  <si>
    <t>TSK-044</t>
  </si>
  <si>
    <t>TSK-045</t>
  </si>
  <si>
    <t>TSK-046</t>
  </si>
  <si>
    <t>TSK-047</t>
  </si>
  <si>
    <t>TSK-048</t>
  </si>
  <si>
    <t>TSK-049</t>
  </si>
  <si>
    <t>TSK-050</t>
  </si>
  <si>
    <t>TSK-051</t>
  </si>
  <si>
    <t>TSK-052</t>
  </si>
  <si>
    <t>TSK-053</t>
  </si>
  <si>
    <t>TSK-054</t>
  </si>
  <si>
    <t>TSK-055</t>
  </si>
  <si>
    <t>TSK-056</t>
  </si>
  <si>
    <t>TSK-057</t>
  </si>
  <si>
    <t>TSK-058</t>
  </si>
  <si>
    <t>TSK-059</t>
  </si>
  <si>
    <t>TSK-060</t>
  </si>
  <si>
    <t>TSK-061</t>
  </si>
  <si>
    <t>TSK-062</t>
  </si>
  <si>
    <t>TSK-063</t>
  </si>
  <si>
    <t>TSK-064</t>
  </si>
  <si>
    <t>TSK-065</t>
  </si>
  <si>
    <t>TSK-066</t>
  </si>
  <si>
    <t>TSK-067</t>
  </si>
  <si>
    <t>TSK-068</t>
  </si>
  <si>
    <t>TSK-069</t>
  </si>
  <si>
    <t>TSK-070</t>
  </si>
  <si>
    <t>TSK-071</t>
  </si>
  <si>
    <t>TSK-072</t>
  </si>
  <si>
    <t>TSK-073</t>
  </si>
  <si>
    <t>TSK-074</t>
  </si>
  <si>
    <t>TSK-075</t>
  </si>
  <si>
    <t>TSK-076</t>
  </si>
  <si>
    <t>TSK-077</t>
  </si>
  <si>
    <t>TSK-078</t>
  </si>
  <si>
    <t>TSK-079</t>
  </si>
  <si>
    <t>TSK-080</t>
  </si>
  <si>
    <t>TSK-081</t>
  </si>
  <si>
    <t>TSK-082</t>
  </si>
  <si>
    <t>TSK-083</t>
  </si>
  <si>
    <t>TSK-084</t>
  </si>
  <si>
    <t>TSK-085</t>
  </si>
  <si>
    <t>TSK-086</t>
  </si>
  <si>
    <t>TSK-087</t>
  </si>
  <si>
    <t>TSK-088</t>
  </si>
  <si>
    <t>TSK-089</t>
  </si>
  <si>
    <t>TSK-090</t>
  </si>
  <si>
    <t>TSK-091</t>
  </si>
  <si>
    <t>TSK-092</t>
  </si>
  <si>
    <t>TSK-093</t>
  </si>
  <si>
    <t>TSK-094</t>
  </si>
  <si>
    <t>TSK-095</t>
  </si>
  <si>
    <t>TSK-096</t>
  </si>
  <si>
    <t>TSK-097</t>
  </si>
  <si>
    <t>TSK-098</t>
  </si>
  <si>
    <t>TSK-099</t>
  </si>
  <si>
    <t>TSK-100</t>
  </si>
  <si>
    <t>Test the Back Office functionality for requests initiated from the front end, including cancellations and other workflows.</t>
  </si>
  <si>
    <t>Conduct end-to-end testing on the front-end application, covering standard use cases, edge cases, and full functionality verification.</t>
  </si>
  <si>
    <t>Research compliance requirements, create a detailed BRD, and test backend logic and visibility in both pre-production and staging environments.</t>
  </si>
  <si>
    <t>Investigate and resolve revenue calculation issues in Stripe and fix the transaction export functionality for Finance.</t>
  </si>
  <si>
    <t>Provide a complete breakdown and analysis of standard and non-standard pricing models and revenue-sharing structures.</t>
  </si>
  <si>
    <t>Conduct UAT for the transition from Frame to Flow in the checkout process to ensure seamless functionality.</t>
  </si>
  <si>
    <t>Review the updated business account onboarding process and provide detailed feedback for improvements.</t>
  </si>
  <si>
    <t>Investigate the bank incident causing a 400 error, conduct root cause analysis, and document findings for resolution.</t>
  </si>
  <si>
    <t>Conduct comprehensive research and competitor analysis to design and validate a tiered pricing model.</t>
  </si>
  <si>
    <t>Research UK lenders and BNPL providers that offer Shariah-compliant financing solutions.</t>
  </si>
  <si>
    <t>Create multiple concept papers outlining strategic product initiatives and future roadmap items.</t>
  </si>
  <si>
    <t>Develop a concept paper allowing users to lock exchange rates for up to two years.</t>
  </si>
  <si>
    <t>Develop a concept for merchants or businesses to accept card payments via NFC-enabled devices.</t>
  </si>
  <si>
    <t>Design a concept allowing businesses to pay invoices internationally with ease.</t>
  </si>
  <si>
    <t>Create a detailed concept for introducing tiered pricing based on customer segmentation and personalization.</t>
  </si>
  <si>
    <t>Prepare a TAM, SAM, and SOM analysis for open banking and other relevant services, dependent on data availability.</t>
  </si>
  <si>
    <t>Create a complete BRD and prototype for the business account dashboard, including feature requirements and UX flows.</t>
  </si>
  <si>
    <t>Draft a comprehensive paper summarizing goals, priorities, and initiatives for Q1 to share with the PMO.</t>
  </si>
  <si>
    <t>Develop a document outlining the enable/disable functionality of individual features per user.</t>
  </si>
  <si>
    <t>Analyze the transaction page for missing elements and document improvements for the next development sprint.</t>
  </si>
  <si>
    <t>Conduct end-to-end testing for inward cancellation; ensure refunds are automatically processed to the sender’s bank.</t>
  </si>
  <si>
    <t>Update onboarding to include a single trading address point, discuss with compliance, and implement in the revamped workflow.</t>
  </si>
  <si>
    <t>Perform full end-to-end testing of Tap to Pay in the staging environment and compile a complete test report.</t>
  </si>
  <si>
    <t>Develop a comprehensive BRD and rebuttal for operations, including industry research on card expiry processes.</t>
  </si>
  <si>
    <t>Create detailed test cases covering all scenarios for Tap to Pay functionality.</t>
  </si>
  <si>
    <t>Propose innovative ideas for invoice and bill payment features during the session.</t>
  </si>
  <si>
    <t>Compile a complete report documenting issues encountered across different testing environments.</t>
  </si>
  <si>
    <t>Conduct research on competitor onboarding processes and compile reference videos for analysis.</t>
  </si>
  <si>
    <t>Test consumer card expiry workflows and ensure smooth issuance of replacement cards.</t>
  </si>
  <si>
    <t>Develop a solution to notify customers when contactless limits are exceeded and provide chip-and-PIN fallback.</t>
  </si>
  <si>
    <t>Conduct R&amp;D on Stripe card issuing, including reviewing official documentation and best practices.</t>
  </si>
  <si>
    <t>Pending on ASC</t>
  </si>
  <si>
    <t>Feedback prodiveded done form my side</t>
  </si>
  <si>
    <t>Other</t>
  </si>
  <si>
    <t>Research</t>
  </si>
  <si>
    <t>Documentation</t>
  </si>
  <si>
    <t>Conduct a detailed gap analysis of existing EMI products, linked to business account ideation, identifying missing features, compliance gaps, and improvement opportunities.</t>
  </si>
  <si>
    <t>Map all MVP events, documenting both basic flows and feature-specific workflows to ensure complete end-to-end coverage.</t>
  </si>
  <si>
    <t>N/A</t>
  </si>
  <si>
    <t>Conduct sessions with the Operations team to help them understand and navigate the Stripe dashboard effectively.</t>
  </si>
  <si>
    <t>Research and clarify responsibility and processes when a connected account balance goes negative.</t>
  </si>
  <si>
    <t>Perform testing of Stripe functionalities in the live production environment.</t>
  </si>
  <si>
    <t>Verify that all emails and notifications are correctly triggered and received in the production environment.</t>
  </si>
  <si>
    <t>✅ UMAIR TASK LIST DASHBOARD</t>
  </si>
  <si>
    <t>Date Started</t>
  </si>
  <si>
    <t>XYZ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</si>
</sst>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\%"/>
    <numFmt numFmtId="166" formatCode="dd\-mmm\-yyyy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rgb="FF263238"/>
      <name val="Arial"/>
      <family val="2"/>
    </font>
    <font>
      <b/>
      <sz val="9"/>
      <color rgb="FF1E3A5F"/>
      <name val="Arial"/>
      <family val="2"/>
    </font>
    <font>
      <b/>
      <sz val="11"/>
      <color rgb="FF455A64"/>
      <name val="Arial"/>
      <family val="2"/>
    </font>
    <font>
      <b/>
      <sz val="11"/>
      <color rgb="FF00897B"/>
      <name val="Arial"/>
      <family val="2"/>
    </font>
    <font>
      <b/>
      <sz val="28"/>
      <color rgb="FFC62828"/>
      <name val="Arial"/>
      <family val="2"/>
    </font>
    <font>
      <b/>
      <sz val="28"/>
      <color rgb="FF2E7D32"/>
      <name val="Arial"/>
      <family val="2"/>
    </font>
    <font>
      <b/>
      <sz val="28"/>
      <color rgb="FF00897B"/>
      <name val="Arial"/>
      <family val="2"/>
    </font>
    <font>
      <b/>
      <sz val="28"/>
      <color rgb="FF1E3A5F"/>
      <name val="Arial"/>
      <family val="2"/>
    </font>
    <font>
      <sz val="10"/>
      <color rgb="FF90A4AE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E65100"/>
      <name val="Arial"/>
      <family val="2"/>
    </font>
    <font>
      <b/>
      <sz val="11"/>
      <color rgb="FF6A1B9A"/>
      <name val="Arial"/>
      <family val="2"/>
    </font>
    <font>
      <b/>
      <sz val="14"/>
      <color rgb="FFFFFFFF"/>
      <name val="Arial"/>
      <family val="2"/>
    </font>
    <font>
      <sz val="10"/>
      <color rgb="FF263238"/>
      <name val="Arial"/>
      <family val="2"/>
    </font>
    <font>
      <b/>
      <sz val="20"/>
      <color rgb="FFFFFFFF"/>
      <name val="Arial"/>
      <family val="2"/>
    </font>
    <font>
      <b/>
      <sz val="14"/>
      <color rgb="FFFFFFFF"/>
      <name val="Arial"/>
      <family val="2"/>
    </font>
    <font>
      <sz val="8"/>
      <name val="Aptos Narrow"/>
      <family val="2"/>
      <scheme val="minor"/>
    </font>
    <font>
      <b/>
      <sz val="10"/>
      <color rgb="FFFFFFFF"/>
      <name val="Arial"/>
      <family val="2"/>
    </font>
    <font>
      <b/>
      <sz val="9"/>
      <color rgb="FF1E3A5F"/>
      <name val="Arial"/>
      <family val="2"/>
    </font>
    <font>
      <b/>
      <sz val="9"/>
      <color theme="1"/>
      <name val="Calibri"/>
      <family val="2"/>
      <charset val="1"/>
    </font>
    <font>
      <b/>
      <sz val="9"/>
      <color rgb="FF00897B"/>
      <name val="Arial"/>
      <family val="2"/>
    </font>
    <font>
      <b/>
      <sz val="9"/>
      <color rgb="FF2E7D32"/>
      <name val="Arial"/>
      <family val="2"/>
    </font>
    <font>
      <b/>
      <sz val="9"/>
      <color rgb="FFC6282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E0F2F1"/>
        <bgColor rgb="FFE3F2FD"/>
      </patternFill>
    </fill>
    <fill>
      <patternFill patternType="solid">
        <fgColor rgb="FFF3E5F5"/>
        <bgColor rgb="FFFCE4EC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E3F2FD"/>
        <bgColor rgb="FFE0F7FA"/>
      </patternFill>
    </fill>
    <fill>
      <patternFill patternType="solid">
        <fgColor rgb="FFECEFF1"/>
        <bgColor rgb="FFE8EAF6"/>
      </patternFill>
    </fill>
    <fill>
      <patternFill patternType="solid">
        <fgColor rgb="FFF5F7FA"/>
        <bgColor rgb="FFF9F9F9"/>
      </patternFill>
    </fill>
    <fill>
      <patternFill patternType="solid">
        <fgColor rgb="FF1E3A5F"/>
        <bgColor rgb="FF263238"/>
      </patternFill>
    </fill>
    <fill>
      <patternFill patternType="solid">
        <fgColor rgb="FFF8D7DA"/>
        <bgColor rgb="FFFFCDD2"/>
      </patternFill>
    </fill>
    <fill>
      <patternFill patternType="solid">
        <fgColor rgb="FFE8F5E9"/>
        <bgColor rgb="FFE0F2F1"/>
      </patternFill>
    </fill>
    <fill>
      <patternFill patternType="solid">
        <fgColor rgb="FFFFF3CD"/>
        <bgColor rgb="FFFFF3E0"/>
      </patternFill>
    </fill>
    <fill>
      <patternFill patternType="solid">
        <fgColor rgb="FFD4EDDA"/>
        <bgColor rgb="FFE0F2F1"/>
      </patternFill>
    </fill>
    <fill>
      <patternFill patternType="solid">
        <fgColor rgb="FFFDECEA"/>
        <bgColor rgb="FFFCE4EC"/>
      </patternFill>
    </fill>
    <fill>
      <patternFill patternType="solid">
        <fgColor rgb="FFE65100"/>
        <bgColor rgb="FFC0504D"/>
      </patternFill>
    </fill>
    <fill>
      <patternFill patternType="solid">
        <fgColor rgb="FFE8EAF6"/>
        <bgColor rgb="FFECEFF1"/>
      </patternFill>
    </fill>
    <fill>
      <patternFill patternType="solid">
        <fgColor rgb="FF6A1B9A"/>
        <bgColor rgb="FF800080"/>
      </patternFill>
    </fill>
  </fills>
  <borders count="1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C62828"/>
      </left>
      <right style="medium">
        <color rgb="FFC62828"/>
      </right>
      <top style="medium">
        <color rgb="FFC62828"/>
      </top>
      <bottom style="medium">
        <color rgb="FFC62828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00897B"/>
      </left>
      <right style="medium">
        <color rgb="FF00897B"/>
      </right>
      <top style="medium">
        <color rgb="FF00897B"/>
      </top>
      <bottom style="medium">
        <color rgb="FF00897B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/>
      <right/>
      <top/>
      <bottom style="medium">
        <color rgb="FF00897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medium">
        <color rgb="FFC62828"/>
      </bottom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1E3A5F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1" fillId="0" borderId="0" xfId="1"/>
    <xf numFmtId="9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9" fontId="2" fillId="3" borderId="1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9" fontId="2" fillId="4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9" fontId="2" fillId="5" borderId="1" xfId="1" applyNumberFormat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left" vertical="center" wrapText="1"/>
    </xf>
    <xf numFmtId="0" fontId="2" fillId="10" borderId="1" xfId="1" applyFont="1" applyFill="1" applyBorder="1" applyAlignment="1">
      <alignment horizontal="center" vertical="center" wrapText="1"/>
    </xf>
    <xf numFmtId="165" fontId="2" fillId="10" borderId="1" xfId="1" applyNumberFormat="1" applyFont="1" applyFill="1" applyBorder="1" applyAlignment="1">
      <alignment horizontal="center" vertical="center" wrapText="1"/>
    </xf>
    <xf numFmtId="0" fontId="11" fillId="11" borderId="1" xfId="1" applyFont="1" applyFill="1" applyBorder="1" applyAlignment="1">
      <alignment horizontal="center" vertical="center" wrapText="1"/>
    </xf>
    <xf numFmtId="166" fontId="2" fillId="10" borderId="1" xfId="1" applyNumberFormat="1" applyFont="1" applyFill="1" applyBorder="1" applyAlignment="1">
      <alignment horizontal="center" vertical="center" wrapText="1"/>
    </xf>
    <xf numFmtId="0" fontId="2" fillId="12" borderId="1" xfId="1" applyFont="1" applyFill="1" applyBorder="1" applyAlignment="1">
      <alignment horizontal="left" vertical="center" wrapText="1"/>
    </xf>
    <xf numFmtId="0" fontId="2" fillId="12" borderId="1" xfId="1" applyFont="1" applyFill="1" applyBorder="1" applyAlignment="1">
      <alignment horizontal="center" vertical="center" wrapText="1"/>
    </xf>
    <xf numFmtId="165" fontId="2" fillId="12" borderId="1" xfId="1" applyNumberFormat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166" fontId="2" fillId="12" borderId="1" xfId="1" applyNumberFormat="1" applyFont="1" applyFill="1" applyBorder="1" applyAlignment="1">
      <alignment horizontal="center" vertical="center" wrapText="1"/>
    </xf>
    <xf numFmtId="0" fontId="2" fillId="13" borderId="1" xfId="1" applyFont="1" applyFill="1" applyBorder="1" applyAlignment="1">
      <alignment horizontal="left" vertical="center" wrapText="1"/>
    </xf>
    <xf numFmtId="0" fontId="2" fillId="13" borderId="1" xfId="1" applyFont="1" applyFill="1" applyBorder="1" applyAlignment="1">
      <alignment horizontal="center" vertical="center" wrapText="1"/>
    </xf>
    <xf numFmtId="165" fontId="2" fillId="13" borderId="1" xfId="1" applyNumberFormat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166" fontId="2" fillId="13" borderId="1" xfId="1" applyNumberFormat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horizontal="center" vertical="center" wrapText="1"/>
    </xf>
    <xf numFmtId="0" fontId="12" fillId="9" borderId="7" xfId="1" applyFont="1" applyFill="1" applyBorder="1" applyAlignment="1">
      <alignment horizontal="center" vertical="center" wrapText="1"/>
    </xf>
    <xf numFmtId="9" fontId="2" fillId="11" borderId="1" xfId="1" applyNumberFormat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9" fontId="2" fillId="14" borderId="1" xfId="1" applyNumberFormat="1" applyFont="1" applyFill="1" applyBorder="1" applyAlignment="1">
      <alignment horizontal="center" vertical="center" wrapText="1"/>
    </xf>
    <xf numFmtId="0" fontId="2" fillId="14" borderId="1" xfId="1" applyFont="1" applyFill="1" applyBorder="1" applyAlignment="1">
      <alignment horizontal="center" vertical="center" wrapText="1"/>
    </xf>
    <xf numFmtId="0" fontId="14" fillId="15" borderId="1" xfId="1" applyFont="1" applyFill="1" applyBorder="1" applyAlignment="1">
      <alignment horizontal="center" vertical="center" wrapText="1"/>
    </xf>
    <xf numFmtId="9" fontId="2" fillId="6" borderId="1" xfId="1" applyNumberFormat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9" fontId="2" fillId="16" borderId="1" xfId="1" applyNumberFormat="1" applyFont="1" applyFill="1" applyBorder="1" applyAlignment="1">
      <alignment horizontal="center" vertical="center" wrapText="1"/>
    </xf>
    <xf numFmtId="0" fontId="2" fillId="16" borderId="1" xfId="1" applyFont="1" applyFill="1" applyBorder="1" applyAlignment="1">
      <alignment horizontal="center" vertical="center" wrapText="1"/>
    </xf>
    <xf numFmtId="9" fontId="2" fillId="12" borderId="1" xfId="1" applyNumberFormat="1" applyFont="1" applyFill="1" applyBorder="1" applyAlignment="1">
      <alignment horizontal="center" vertical="center" wrapText="1"/>
    </xf>
    <xf numFmtId="0" fontId="14" fillId="17" borderId="1" xfId="1" applyFont="1" applyFill="1" applyBorder="1" applyAlignment="1">
      <alignment horizontal="center" vertical="center" wrapText="1"/>
    </xf>
    <xf numFmtId="0" fontId="16" fillId="0" borderId="0" xfId="1" applyFont="1"/>
    <xf numFmtId="0" fontId="18" fillId="12" borderId="1" xfId="1" applyFont="1" applyFill="1" applyBorder="1" applyAlignment="1">
      <alignment horizontal="center" vertical="center" wrapText="1"/>
    </xf>
    <xf numFmtId="0" fontId="18" fillId="12" borderId="1" xfId="1" applyFont="1" applyFill="1" applyBorder="1" applyAlignment="1">
      <alignment horizontal="left" vertical="center" wrapText="1"/>
    </xf>
    <xf numFmtId="0" fontId="2" fillId="10" borderId="1" xfId="1" applyFont="1" applyFill="1" applyBorder="1" applyAlignment="1">
      <alignment horizontal="left" vertical="center"/>
    </xf>
    <xf numFmtId="0" fontId="2" fillId="12" borderId="1" xfId="1" applyFont="1" applyFill="1" applyBorder="1" applyAlignment="1">
      <alignment horizontal="left" vertical="center"/>
    </xf>
    <xf numFmtId="0" fontId="2" fillId="13" borderId="1" xfId="1" applyFont="1" applyFill="1" applyBorder="1" applyAlignment="1">
      <alignment horizontal="left" vertical="center"/>
    </xf>
    <xf numFmtId="0" fontId="12" fillId="9" borderId="7" xfId="1" applyFont="1" applyFill="1" applyBorder="1" applyAlignment="1">
      <alignment horizontal="center" vertical="center"/>
    </xf>
    <xf numFmtId="0" fontId="18" fillId="10" borderId="1" xfId="1" applyFont="1" applyFill="1" applyBorder="1" applyAlignment="1">
      <alignment horizontal="left" vertical="center" wrapText="1"/>
    </xf>
    <xf numFmtId="0" fontId="18" fillId="13" borderId="1" xfId="1" applyFont="1" applyFill="1" applyBorder="1" applyAlignment="1">
      <alignment horizontal="left" vertical="center" wrapText="1"/>
    </xf>
    <xf numFmtId="0" fontId="22" fillId="9" borderId="7" xfId="1" applyFont="1" applyFill="1" applyBorder="1" applyAlignment="1">
      <alignment horizontal="center" vertical="center" wrapText="1"/>
    </xf>
    <xf numFmtId="4" fontId="15" fillId="0" borderId="0" xfId="1" applyNumberFormat="1" applyFont="1"/>
    <xf numFmtId="0" fontId="18" fillId="10" borderId="1" xfId="1" applyFont="1" applyFill="1" applyBorder="1" applyAlignment="1">
      <alignment horizontal="center" vertical="center" wrapText="1"/>
    </xf>
    <xf numFmtId="166" fontId="18" fillId="12" borderId="1" xfId="1" applyNumberFormat="1" applyFont="1" applyFill="1" applyBorder="1" applyAlignment="1">
      <alignment horizontal="center" vertical="center" wrapText="1"/>
    </xf>
    <xf numFmtId="0" fontId="24" fillId="0" borderId="0" xfId="1" applyFont="1"/>
    <xf numFmtId="0" fontId="4" fillId="0" borderId="0" xfId="1" applyFont="1" applyAlignment="1">
      <alignment horizontal="center"/>
    </xf>
    <xf numFmtId="0" fontId="13" fillId="9" borderId="8" xfId="1" applyFont="1" applyFill="1" applyBorder="1" applyAlignment="1">
      <alignment horizontal="center" vertical="center" wrapText="1"/>
    </xf>
    <xf numFmtId="0" fontId="19" fillId="9" borderId="0" xfId="1" applyFont="1" applyFill="1" applyAlignment="1">
      <alignment horizontal="center" vertical="center" wrapText="1"/>
    </xf>
    <xf numFmtId="0" fontId="10" fillId="8" borderId="0" xfId="1" applyFont="1" applyFill="1" applyAlignment="1">
      <alignment horizontal="center" vertical="center" wrapText="1"/>
    </xf>
    <xf numFmtId="0" fontId="9" fillId="7" borderId="5" xfId="1" applyFont="1" applyFill="1" applyBorder="1" applyAlignment="1">
      <alignment horizontal="center"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7" fillId="7" borderId="3" xfId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27" fillId="0" borderId="9" xfId="1" applyFont="1" applyBorder="1" applyAlignment="1">
      <alignment horizontal="center" vertical="center" wrapText="1"/>
    </xf>
    <xf numFmtId="0" fontId="26" fillId="0" borderId="10" xfId="1" applyFont="1" applyBorder="1" applyAlignment="1">
      <alignment horizontal="center" vertical="center" wrapText="1"/>
    </xf>
    <xf numFmtId="0" fontId="23" fillId="0" borderId="1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64" fontId="5" fillId="2" borderId="0" xfId="1" applyNumberFormat="1" applyFont="1" applyFill="1" applyAlignment="1">
      <alignment horizontal="center" vertical="center" wrapText="1"/>
    </xf>
    <xf numFmtId="0" fontId="25" fillId="0" borderId="6" xfId="1" applyFont="1" applyBorder="1" applyAlignment="1">
      <alignment horizontal="center" vertical="center" wrapText="1"/>
    </xf>
    <xf numFmtId="0" fontId="20" fillId="17" borderId="0" xfId="1" applyFont="1" applyFill="1" applyAlignment="1">
      <alignment horizontal="center" vertical="center" wrapText="1"/>
    </xf>
    <xf numFmtId="0" fontId="17" fillId="17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4F6C40D3-263E-44FA-8E30-4307FD42F364}"/>
  </cellStyles>
  <dxfs count="6">
    <dxf>
      <font>
        <b/>
        <sz val="10"/>
        <color rgb="FFC62828"/>
        <name val="Arial"/>
        <charset val="1"/>
      </font>
      <fill>
        <patternFill>
          <bgColor rgb="FFFFCDD2"/>
        </patternFill>
      </fill>
    </dxf>
    <dxf>
      <font>
        <b/>
        <sz val="10"/>
        <color rgb="FFC62828"/>
        <name val="Arial"/>
        <charset val="1"/>
      </font>
      <fill>
        <patternFill>
          <bgColor rgb="FFFFCDD2"/>
        </patternFill>
      </fill>
    </dxf>
    <dxf>
      <font>
        <b/>
        <sz val="10"/>
        <color rgb="FFC62828"/>
        <name val="Arial"/>
        <charset val="1"/>
      </font>
      <fill>
        <patternFill>
          <bgColor rgb="FFFFCDD2"/>
        </patternFill>
      </fill>
    </dxf>
    <dxf>
      <font>
        <b/>
        <sz val="10"/>
        <color rgb="FFC62828"/>
        <name val="Arial"/>
        <charset val="1"/>
      </font>
      <fill>
        <patternFill>
          <bgColor rgb="FFFFCDD2"/>
        </patternFill>
      </fill>
    </dxf>
    <dxf>
      <font>
        <b/>
        <sz val="10"/>
        <color rgb="FFC62828"/>
        <name val="Arial"/>
        <charset val="1"/>
      </font>
      <fill>
        <patternFill>
          <bgColor rgb="FFFFCDD2"/>
        </patternFill>
      </fill>
    </dxf>
    <dxf>
      <font>
        <b/>
        <sz val="10"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'📈 Analytics'!$B$4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3BB-44E3-9A28-C03D8416A6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3BB-44E3-9A28-C03D8416A6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3BB-44E3-9A28-C03D8416A6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3BB-44E3-9A28-C03D8416A6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3BB-44E3-9A28-C03D8416A6E4}"/>
              </c:ext>
            </c:extLst>
          </c:dPt>
          <c:dLbls>
            <c:dLbl>
              <c:idx val="0"/>
              <c:layout>
                <c:manualLayout>
                  <c:x val="6.2181746964355661E-2"/>
                  <c:y val="3.58569674040402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BB-44E3-9A28-C03D8416A6E4}"/>
                </c:ext>
              </c:extLst>
            </c:dLbl>
            <c:dLbl>
              <c:idx val="1"/>
              <c:layout>
                <c:manualLayout>
                  <c:x val="-7.5136277581929756E-2"/>
                  <c:y val="-1.19523224680134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BB-44E3-9A28-C03D8416A6E4}"/>
                </c:ext>
              </c:extLst>
            </c:dLbl>
            <c:dLbl>
              <c:idx val="2"/>
              <c:layout>
                <c:manualLayout>
                  <c:x val="-6.2181746964355661E-2"/>
                  <c:y val="-3.58569674040402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BB-44E3-9A28-C03D8416A6E4}"/>
                </c:ext>
              </c:extLst>
            </c:dLbl>
            <c:dLbl>
              <c:idx val="3"/>
              <c:layout>
                <c:manualLayout>
                  <c:x val="0.17359071027549289"/>
                  <c:y val="-3.88450480210436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BB-44E3-9A28-C03D8416A6E4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D62D99-C24C-4023-9523-15A8E6667EAD}" type="PERCENTAGE">
                      <a:rPr lang="en-US" sz="900" b="0" i="0" u="none" strike="noStrike" kern="1200" baseline="0">
                        <a:solidFill>
                          <a:sysClr val="window" lastClr="FFFFFF"/>
                        </a:solidFill>
                        <a:latin typeface="+mn-lt"/>
                        <a:ea typeface="+mn-ea"/>
                        <a:cs typeface="+mn-cs"/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73BB-44E3-9A28-C03D8416A6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'📈 Analytics'!$A$5:$A$9</c:f>
              <c:strCache>
                <c:ptCount val="5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On Hold</c:v>
                </c:pt>
                <c:pt idx="4">
                  <c:v>Cancelled</c:v>
                </c:pt>
              </c:strCache>
            </c:strRef>
          </c:cat>
          <c:val>
            <c:numRef>
              <c:f>'📈 Analytics'!$B$5:$B$9</c:f>
              <c:numCache>
                <c:formatCode>General</c:formatCode>
                <c:ptCount val="5"/>
                <c:pt idx="0">
                  <c:v>29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BB-44E3-9A28-C03D8416A6E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Analytics'!$B$14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62-4C2E-98D4-9C523BC17D5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62-4C2E-98D4-9C523BC17D5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62-4C2E-98D4-9C523BC17D5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ysClr val="window" lastClr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62-4C2E-98D4-9C523BC17D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'📈 Analytics'!$A$15:$A$18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'📈 Analytics'!$B$15:$B$18</c:f>
              <c:numCache>
                <c:formatCode>General</c:formatCode>
                <c:ptCount val="4"/>
                <c:pt idx="0">
                  <c:v>6</c:v>
                </c:pt>
                <c:pt idx="1">
                  <c:v>13</c:v>
                </c:pt>
                <c:pt idx="2">
                  <c:v>14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9-4B7B-BF96-5F68B319A3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327922"/>
        <c:axId val="93484212"/>
      </c:barChart>
      <c:catAx>
        <c:axId val="1532792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Priority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84212"/>
        <c:crosses val="autoZero"/>
        <c:auto val="1"/>
        <c:lblAlgn val="ctr"/>
        <c:lblOffset val="100"/>
        <c:noMultiLvlLbl val="0"/>
      </c:catAx>
      <c:valAx>
        <c:axId val="934842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79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381000</xdr:colOff>
      <xdr:row>2</xdr:row>
      <xdr:rowOff>60960</xdr:rowOff>
    </xdr:from>
    <xdr:ext cx="4901760" cy="42502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DF8F8-C997-4CE1-9B7B-BF9E255AE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60960</xdr:colOff>
      <xdr:row>1</xdr:row>
      <xdr:rowOff>68580</xdr:rowOff>
    </xdr:from>
    <xdr:ext cx="4901760" cy="42595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63DFA1-38F6-4A50-B549-AFBD726C3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904E-CA79-40F4-9D61-0D9583274DB4}">
  <sheetPr>
    <tabColor theme="5" tint="0.39997558519241921"/>
  </sheetPr>
  <dimension ref="A1:L19"/>
  <sheetViews>
    <sheetView showGridLines="0" tabSelected="1" zoomScale="68" zoomScaleNormal="100" workbookViewId="0">
      <selection activeCell="B13" sqref="B13:F13"/>
    </sheetView>
  </sheetViews>
  <sheetFormatPr defaultColWidth="8.6328125" defaultRowHeight="14.5" x14ac:dyDescent="0.35"/>
  <cols>
    <col min="1" max="1" width="2" style="1" customWidth="1"/>
    <col min="2" max="2" width="18" style="1" customWidth="1"/>
    <col min="3" max="3" width="4" style="1" customWidth="1"/>
    <col min="4" max="4" width="14" style="1" customWidth="1"/>
    <col min="5" max="5" width="8.90625" style="1" bestFit="1" customWidth="1"/>
    <col min="6" max="6" width="14" style="1" customWidth="1"/>
    <col min="7" max="7" width="4" style="1" customWidth="1"/>
    <col min="8" max="8" width="14" style="1" customWidth="1"/>
    <col min="9" max="10" width="4" style="1" customWidth="1"/>
    <col min="11" max="11" width="14" style="1" customWidth="1"/>
    <col min="12" max="12" width="4" style="1" customWidth="1"/>
    <col min="13" max="16384" width="8.6328125" style="1"/>
  </cols>
  <sheetData>
    <row r="1" spans="1:12" ht="6" customHeight="1" x14ac:dyDescent="0.35"/>
    <row r="2" spans="1:12" ht="31.5" customHeight="1" x14ac:dyDescent="0.35">
      <c r="A2" s="55" t="s">
        <v>184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7.5" customHeight="1" x14ac:dyDescent="0.3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ht="18" customHeight="1" x14ac:dyDescent="0.3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ht="21.75" customHeight="1" thickBot="1" x14ac:dyDescent="0.4">
      <c r="B5" s="64" t="s">
        <v>12</v>
      </c>
      <c r="C5" s="64"/>
      <c r="D5" s="52"/>
      <c r="E5" s="67" t="s">
        <v>11</v>
      </c>
      <c r="F5" s="67"/>
      <c r="G5" s="52"/>
      <c r="H5" s="63" t="s">
        <v>10</v>
      </c>
      <c r="I5" s="63"/>
      <c r="J5" s="52"/>
      <c r="K5" s="62" t="s">
        <v>9</v>
      </c>
      <c r="L5" s="62"/>
    </row>
    <row r="6" spans="1:12" ht="21.75" customHeight="1" thickBot="1" x14ac:dyDescent="0.4">
      <c r="B6" s="57">
        <f>COUNTA('📋 Task List'!C3:C998)</f>
        <v>37</v>
      </c>
      <c r="C6" s="57"/>
      <c r="E6" s="58">
        <f>COUNTIF('📋 Task List'!I3:I998,"In Progress")</f>
        <v>4</v>
      </c>
      <c r="F6" s="58"/>
      <c r="H6" s="59">
        <f>COUNTIF('📋 Task List'!I3:I998,"Completed")</f>
        <v>29</v>
      </c>
      <c r="I6" s="59"/>
      <c r="K6" s="60">
        <f ca="1">SUMPRODUCT(('📋 Task List'!G3:G998&lt;TODAY())*('📋 Task List'!I3:I998&lt;&gt;"Completed")*('📋 Task List'!G3:G998&lt;&gt;""))</f>
        <v>5</v>
      </c>
      <c r="L6" s="60"/>
    </row>
    <row r="7" spans="1:12" ht="21.75" customHeight="1" thickBot="1" x14ac:dyDescent="0.4">
      <c r="B7" s="57"/>
      <c r="C7" s="57"/>
      <c r="E7" s="58"/>
      <c r="F7" s="58"/>
      <c r="H7" s="59"/>
      <c r="I7" s="59"/>
      <c r="K7" s="60"/>
      <c r="L7" s="60"/>
    </row>
    <row r="8" spans="1:12" ht="21.75" customHeight="1" thickBot="1" x14ac:dyDescent="0.4">
      <c r="B8" s="57"/>
      <c r="C8" s="57"/>
      <c r="E8" s="58"/>
      <c r="F8" s="58"/>
      <c r="H8" s="59"/>
      <c r="I8" s="59"/>
      <c r="K8" s="60"/>
      <c r="L8" s="60"/>
    </row>
    <row r="9" spans="1:12" ht="21.75" customHeight="1" x14ac:dyDescent="0.35"/>
    <row r="10" spans="1:12" ht="15" customHeight="1" x14ac:dyDescent="0.35">
      <c r="B10" s="65" t="s">
        <v>8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</row>
    <row r="11" spans="1:12" ht="19.5" customHeight="1" x14ac:dyDescent="0.35">
      <c r="B11" s="66">
        <f>IFERROR(COUNTIF('📋 Task List'!I3:I998,"Completed")/COUNTA('📋 Task List'!F3:F998),0)</f>
        <v>0.76315789473684215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3" spans="1:12" ht="18" customHeight="1" x14ac:dyDescent="0.35">
      <c r="B13" s="61" t="s">
        <v>7</v>
      </c>
      <c r="C13" s="61"/>
      <c r="D13" s="61"/>
      <c r="E13" s="61"/>
      <c r="F13" s="61"/>
    </row>
    <row r="14" spans="1:12" ht="18" customHeight="1" x14ac:dyDescent="0.35">
      <c r="B14" s="53"/>
      <c r="C14" s="53"/>
      <c r="D14" s="53"/>
      <c r="E14" s="53"/>
      <c r="F14" s="53"/>
    </row>
    <row r="15" spans="1:12" ht="15" customHeight="1" x14ac:dyDescent="0.35">
      <c r="B15" s="10" t="s">
        <v>6</v>
      </c>
      <c r="D15" s="10" t="s">
        <v>5</v>
      </c>
      <c r="F15" s="10" t="s">
        <v>4</v>
      </c>
    </row>
    <row r="16" spans="1:12" ht="15" customHeight="1" x14ac:dyDescent="0.35">
      <c r="B16" s="9" t="s">
        <v>3</v>
      </c>
      <c r="D16" s="9">
        <f>COUNTIF('📋 Task List'!J3:J998,"Critical")</f>
        <v>6</v>
      </c>
      <c r="F16" s="8">
        <f>IFERROR(D16/B6,0)</f>
        <v>0.16216216216216217</v>
      </c>
    </row>
    <row r="17" spans="2:6" ht="15" customHeight="1" x14ac:dyDescent="0.35">
      <c r="B17" s="7" t="s">
        <v>2</v>
      </c>
      <c r="D17" s="7">
        <f>COUNTIF('📋 Task List'!J3:J998,"High")</f>
        <v>13</v>
      </c>
      <c r="F17" s="6">
        <f>IFERROR(D17/B6,0)</f>
        <v>0.35135135135135137</v>
      </c>
    </row>
    <row r="18" spans="2:6" ht="15" customHeight="1" x14ac:dyDescent="0.35">
      <c r="B18" s="5" t="s">
        <v>1</v>
      </c>
      <c r="D18" s="5">
        <f>COUNTIF('📋 Task List'!J3:J998,"Medium")</f>
        <v>14</v>
      </c>
      <c r="F18" s="4">
        <f>IFERROR(D18/B6,0)</f>
        <v>0.3783783783783784</v>
      </c>
    </row>
    <row r="19" spans="2:6" ht="15" customHeight="1" x14ac:dyDescent="0.35">
      <c r="B19" s="3" t="s">
        <v>0</v>
      </c>
      <c r="D19" s="3">
        <f>COUNTIF('📋 Task List'!J3:J998,"Low")</f>
        <v>5</v>
      </c>
      <c r="F19" s="2">
        <f>IFERROR(D19/B6,0)</f>
        <v>0.13513513513513514</v>
      </c>
    </row>
  </sheetData>
  <mergeCells count="13">
    <mergeCell ref="B13:F13"/>
    <mergeCell ref="K5:L5"/>
    <mergeCell ref="H5:I5"/>
    <mergeCell ref="B5:C5"/>
    <mergeCell ref="B10:L10"/>
    <mergeCell ref="B11:L11"/>
    <mergeCell ref="E5:F5"/>
    <mergeCell ref="A2:L3"/>
    <mergeCell ref="A4:L4"/>
    <mergeCell ref="B6:C8"/>
    <mergeCell ref="E6:F8"/>
    <mergeCell ref="H6:I8"/>
    <mergeCell ref="K6:L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ACDB-A3D7-4F87-9A14-B5E9A2FE73D3}">
  <sheetPr>
    <tabColor theme="7" tint="0.59999389629810485"/>
  </sheetPr>
  <dimension ref="A1:V18"/>
  <sheetViews>
    <sheetView showGridLines="0" zoomScale="78" zoomScaleNormal="100" workbookViewId="0">
      <selection activeCell="B9" sqref="B9"/>
    </sheetView>
  </sheetViews>
  <sheetFormatPr defaultColWidth="8.6328125" defaultRowHeight="14.5" x14ac:dyDescent="0.35"/>
  <cols>
    <col min="1" max="1" width="18" style="1" customWidth="1"/>
    <col min="2" max="2" width="10" style="1" customWidth="1"/>
    <col min="3" max="3" width="12" style="1" customWidth="1"/>
    <col min="4" max="4" width="4" style="1" customWidth="1"/>
    <col min="5" max="16384" width="8.6328125" style="1"/>
  </cols>
  <sheetData>
    <row r="1" spans="1:22" ht="27.75" customHeight="1" x14ac:dyDescent="0.35">
      <c r="A1" s="68" t="s">
        <v>68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3" spans="1:22" ht="15" customHeight="1" x14ac:dyDescent="0.35">
      <c r="A3" s="39" t="s">
        <v>67</v>
      </c>
    </row>
    <row r="4" spans="1:22" ht="15" customHeight="1" x14ac:dyDescent="0.35">
      <c r="A4" s="38" t="s">
        <v>55</v>
      </c>
      <c r="B4" s="38" t="s">
        <v>5</v>
      </c>
      <c r="C4" s="38" t="s">
        <v>64</v>
      </c>
    </row>
    <row r="5" spans="1:22" ht="15" customHeight="1" x14ac:dyDescent="0.35">
      <c r="A5" s="3" t="s">
        <v>21</v>
      </c>
      <c r="B5" s="3">
        <f>COUNTIF('📋 Task List'!I3:I998,"Completed")</f>
        <v>29</v>
      </c>
      <c r="C5" s="2">
        <f>IFERROR(B5/SUM(B5:B9),0)</f>
        <v>0.76315789473684215</v>
      </c>
    </row>
    <row r="6" spans="1:22" ht="15" customHeight="1" x14ac:dyDescent="0.35">
      <c r="A6" s="17" t="s">
        <v>24</v>
      </c>
      <c r="B6" s="17">
        <f>COUNTIF('📋 Task List'!I3:I998,"In Progress")</f>
        <v>4</v>
      </c>
      <c r="C6" s="37">
        <f>IFERROR(B6/SUM(B5:B9),0)</f>
        <v>0.10526315789473684</v>
      </c>
    </row>
    <row r="7" spans="1:22" ht="15" customHeight="1" x14ac:dyDescent="0.35">
      <c r="A7" s="9" t="s">
        <v>14</v>
      </c>
      <c r="B7" s="9">
        <f>COUNTIF('📋 Task List'!I3:I998,"Not Started")</f>
        <v>4</v>
      </c>
      <c r="C7" s="8">
        <f>IFERROR(B7/SUM(B5:B9),0)</f>
        <v>0.10526315789473684</v>
      </c>
    </row>
    <row r="8" spans="1:22" ht="15" customHeight="1" x14ac:dyDescent="0.35">
      <c r="A8" s="36" t="s">
        <v>66</v>
      </c>
      <c r="B8" s="36">
        <f>COUNTIF('📋 Task List'!I3:I998,"On Hold")</f>
        <v>1</v>
      </c>
      <c r="C8" s="35">
        <f>IFERROR(B8/SUM(B5:B9),0)</f>
        <v>2.6315789473684209E-2</v>
      </c>
    </row>
    <row r="9" spans="1:22" ht="15" customHeight="1" x14ac:dyDescent="0.35">
      <c r="A9" s="34" t="s">
        <v>65</v>
      </c>
      <c r="B9" s="34">
        <f>COUNTIF('📋 Task List'!I3:I998,"Cancelled")</f>
        <v>0</v>
      </c>
      <c r="C9" s="33">
        <f>IFERROR(B9/SUM(B5:B9),0)</f>
        <v>0</v>
      </c>
    </row>
    <row r="13" spans="1:22" ht="15" customHeight="1" x14ac:dyDescent="0.35">
      <c r="A13" s="49" t="s">
        <v>7</v>
      </c>
    </row>
    <row r="14" spans="1:22" ht="15" customHeight="1" x14ac:dyDescent="0.35">
      <c r="A14" s="32" t="s">
        <v>6</v>
      </c>
      <c r="B14" s="32" t="s">
        <v>5</v>
      </c>
      <c r="C14" s="32" t="s">
        <v>64</v>
      </c>
    </row>
    <row r="15" spans="1:22" ht="15" customHeight="1" x14ac:dyDescent="0.35">
      <c r="A15" s="31" t="s">
        <v>28</v>
      </c>
      <c r="B15" s="31">
        <f>COUNTIF('📋 Task List'!J3:J998,"Critical")</f>
        <v>6</v>
      </c>
      <c r="C15" s="30">
        <f>IFERROR(B15/SUM(B15:B18),0)</f>
        <v>0.15789473684210525</v>
      </c>
    </row>
    <row r="16" spans="1:22" ht="15" customHeight="1" x14ac:dyDescent="0.35">
      <c r="A16" s="9" t="s">
        <v>17</v>
      </c>
      <c r="B16" s="9">
        <f>COUNTIF('📋 Task List'!J3:J998,"High")</f>
        <v>13</v>
      </c>
      <c r="C16" s="8">
        <f>IFERROR(B16/SUM(B15:B18),0)</f>
        <v>0.34210526315789475</v>
      </c>
    </row>
    <row r="17" spans="1:3" ht="15" customHeight="1" x14ac:dyDescent="0.35">
      <c r="A17" s="5" t="s">
        <v>20</v>
      </c>
      <c r="B17" s="5">
        <f>COUNTIF('📋 Task List'!J3:J998,"Medium")</f>
        <v>14</v>
      </c>
      <c r="C17" s="4">
        <f>IFERROR(B17/SUM(B15:B18),0)</f>
        <v>0.36842105263157893</v>
      </c>
    </row>
    <row r="18" spans="1:3" ht="15" customHeight="1" x14ac:dyDescent="0.35">
      <c r="A18" s="29" t="s">
        <v>13</v>
      </c>
      <c r="B18" s="29">
        <f>COUNTIF('📋 Task List'!J3:J998,"Low")</f>
        <v>5</v>
      </c>
      <c r="C18" s="28">
        <f>IFERROR(B18/SUM(B15:B18),0)</f>
        <v>0.13157894736842105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8CE5-482E-4B3A-857C-2041EEF88B15}">
  <sheetPr>
    <tabColor theme="9" tint="0.39997558519241921"/>
  </sheetPr>
  <dimension ref="A1:L106"/>
  <sheetViews>
    <sheetView showGridLines="0" zoomScale="60" zoomScaleNormal="40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D24" sqref="D24"/>
    </sheetView>
  </sheetViews>
  <sheetFormatPr defaultColWidth="8.6328125" defaultRowHeight="14.5" x14ac:dyDescent="0.35"/>
  <cols>
    <col min="1" max="1" width="9.90625" style="1" bestFit="1" customWidth="1"/>
    <col min="2" max="2" width="15.54296875" style="1" bestFit="1" customWidth="1"/>
    <col min="3" max="3" width="48.90625" style="1" bestFit="1" customWidth="1"/>
    <col min="4" max="4" width="130.453125" style="1" bestFit="1" customWidth="1"/>
    <col min="5" max="5" width="16.90625" style="1" bestFit="1" customWidth="1"/>
    <col min="6" max="6" width="20.08984375" style="1" bestFit="1" customWidth="1"/>
    <col min="7" max="7" width="17.08984375" style="1" bestFit="1" customWidth="1"/>
    <col min="8" max="8" width="20.08984375" style="1" bestFit="1" customWidth="1"/>
    <col min="9" max="9" width="14.6328125" style="1" bestFit="1" customWidth="1"/>
    <col min="10" max="10" width="15.36328125" style="1" bestFit="1" customWidth="1"/>
    <col min="11" max="11" width="19.54296875" style="1" bestFit="1" customWidth="1"/>
    <col min="12" max="12" width="37" style="1" bestFit="1" customWidth="1"/>
    <col min="13" max="16384" width="8.6328125" style="1"/>
  </cols>
  <sheetData>
    <row r="1" spans="1:12" ht="30" customHeight="1" thickBot="1" x14ac:dyDescent="0.4">
      <c r="A1" s="54" t="s">
        <v>63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24" customHeight="1" thickBot="1" x14ac:dyDescent="0.4">
      <c r="A2" s="27" t="s">
        <v>62</v>
      </c>
      <c r="B2" s="27" t="s">
        <v>61</v>
      </c>
      <c r="C2" s="48" t="s">
        <v>60</v>
      </c>
      <c r="D2" s="45" t="s">
        <v>59</v>
      </c>
      <c r="E2" s="27" t="s">
        <v>58</v>
      </c>
      <c r="F2" s="27" t="s">
        <v>57</v>
      </c>
      <c r="G2" s="27" t="s">
        <v>56</v>
      </c>
      <c r="H2" s="27" t="s">
        <v>185</v>
      </c>
      <c r="I2" s="27" t="s">
        <v>55</v>
      </c>
      <c r="J2" s="27" t="s">
        <v>6</v>
      </c>
      <c r="K2" s="27" t="s">
        <v>54</v>
      </c>
      <c r="L2" s="27" t="s">
        <v>53</v>
      </c>
    </row>
    <row r="3" spans="1:12" ht="19.25" customHeight="1" x14ac:dyDescent="0.35">
      <c r="A3" s="17">
        <v>1</v>
      </c>
      <c r="B3" s="17" t="s">
        <v>52</v>
      </c>
      <c r="C3" s="16" t="s">
        <v>186</v>
      </c>
      <c r="D3" s="41" t="s">
        <v>141</v>
      </c>
      <c r="E3" s="40" t="s">
        <v>70</v>
      </c>
      <c r="F3" s="40" t="s">
        <v>69</v>
      </c>
      <c r="G3" s="20">
        <v>46066</v>
      </c>
      <c r="H3" s="20"/>
      <c r="I3" s="17" t="s">
        <v>21</v>
      </c>
      <c r="J3" s="19" t="s">
        <v>17</v>
      </c>
      <c r="K3" s="18">
        <v>100</v>
      </c>
      <c r="L3" s="16"/>
    </row>
    <row r="4" spans="1:12" ht="19.25" customHeight="1" x14ac:dyDescent="0.35">
      <c r="A4" s="17">
        <v>2</v>
      </c>
      <c r="B4" s="17" t="s">
        <v>51</v>
      </c>
      <c r="C4" s="41" t="s">
        <v>186</v>
      </c>
      <c r="D4" s="41" t="s">
        <v>142</v>
      </c>
      <c r="E4" s="17" t="s">
        <v>70</v>
      </c>
      <c r="F4" s="17" t="s">
        <v>69</v>
      </c>
      <c r="G4" s="20">
        <v>46066</v>
      </c>
      <c r="H4" s="20"/>
      <c r="I4" s="17" t="s">
        <v>21</v>
      </c>
      <c r="J4" s="19" t="s">
        <v>17</v>
      </c>
      <c r="K4" s="18">
        <v>100</v>
      </c>
      <c r="L4" s="16"/>
    </row>
    <row r="5" spans="1:12" ht="19.5" customHeight="1" x14ac:dyDescent="0.35">
      <c r="A5" s="12">
        <v>3</v>
      </c>
      <c r="B5" s="12" t="s">
        <v>50</v>
      </c>
      <c r="C5" s="46" t="s">
        <v>186</v>
      </c>
      <c r="D5" s="46" t="s">
        <v>143</v>
      </c>
      <c r="E5" s="12" t="s">
        <v>70</v>
      </c>
      <c r="F5" s="12" t="s">
        <v>69</v>
      </c>
      <c r="G5" s="15">
        <v>46108</v>
      </c>
      <c r="H5" s="15"/>
      <c r="I5" s="15" t="s">
        <v>21</v>
      </c>
      <c r="J5" s="19" t="s">
        <v>17</v>
      </c>
      <c r="K5" s="18">
        <v>100</v>
      </c>
      <c r="L5" s="11"/>
    </row>
    <row r="6" spans="1:12" ht="19.5" customHeight="1" x14ac:dyDescent="0.35">
      <c r="A6" s="17">
        <v>4</v>
      </c>
      <c r="B6" s="17" t="s">
        <v>49</v>
      </c>
      <c r="C6" s="41" t="s">
        <v>186</v>
      </c>
      <c r="D6" s="41" t="s">
        <v>144</v>
      </c>
      <c r="E6" s="17" t="s">
        <v>18</v>
      </c>
      <c r="F6" s="17" t="s">
        <v>69</v>
      </c>
      <c r="G6" s="20">
        <v>46092</v>
      </c>
      <c r="H6" s="20"/>
      <c r="I6" s="17" t="s">
        <v>21</v>
      </c>
      <c r="J6" s="19" t="s">
        <v>17</v>
      </c>
      <c r="K6" s="18">
        <v>100</v>
      </c>
      <c r="L6" s="16"/>
    </row>
    <row r="7" spans="1:12" ht="19.5" customHeight="1" x14ac:dyDescent="0.35">
      <c r="A7" s="12">
        <v>5</v>
      </c>
      <c r="B7" s="12" t="s">
        <v>48</v>
      </c>
      <c r="C7" s="46" t="s">
        <v>186</v>
      </c>
      <c r="D7" s="46" t="s">
        <v>145</v>
      </c>
      <c r="E7" s="12" t="s">
        <v>18</v>
      </c>
      <c r="F7" s="12" t="s">
        <v>69</v>
      </c>
      <c r="G7" s="15">
        <v>46099</v>
      </c>
      <c r="H7" s="15"/>
      <c r="I7" s="15" t="s">
        <v>21</v>
      </c>
      <c r="J7" s="19" t="s">
        <v>17</v>
      </c>
      <c r="K7" s="18">
        <v>100</v>
      </c>
      <c r="L7" s="11"/>
    </row>
    <row r="8" spans="1:12" ht="19.5" customHeight="1" x14ac:dyDescent="0.35">
      <c r="A8" s="22">
        <v>6</v>
      </c>
      <c r="B8" s="22" t="s">
        <v>47</v>
      </c>
      <c r="C8" s="47" t="s">
        <v>186</v>
      </c>
      <c r="D8" s="47" t="s">
        <v>146</v>
      </c>
      <c r="E8" s="22" t="s">
        <v>70</v>
      </c>
      <c r="F8" s="22" t="s">
        <v>69</v>
      </c>
      <c r="G8" s="25">
        <v>46079</v>
      </c>
      <c r="H8" s="25"/>
      <c r="I8" s="17" t="s">
        <v>24</v>
      </c>
      <c r="J8" s="14" t="s">
        <v>20</v>
      </c>
      <c r="K8" s="23">
        <v>70</v>
      </c>
      <c r="L8" s="47" t="s">
        <v>172</v>
      </c>
    </row>
    <row r="9" spans="1:12" ht="19.5" customHeight="1" x14ac:dyDescent="0.35">
      <c r="A9" s="12">
        <v>7</v>
      </c>
      <c r="B9" s="12" t="s">
        <v>46</v>
      </c>
      <c r="C9" s="46" t="s">
        <v>186</v>
      </c>
      <c r="D9" s="46" t="s">
        <v>147</v>
      </c>
      <c r="E9" s="12" t="s">
        <v>30</v>
      </c>
      <c r="F9" s="12" t="s">
        <v>69</v>
      </c>
      <c r="G9" s="15">
        <v>46115</v>
      </c>
      <c r="H9" s="15"/>
      <c r="I9" s="17" t="s">
        <v>21</v>
      </c>
      <c r="J9" s="24" t="s">
        <v>20</v>
      </c>
      <c r="K9" s="13">
        <v>60</v>
      </c>
      <c r="L9" s="46" t="s">
        <v>173</v>
      </c>
    </row>
    <row r="10" spans="1:12" ht="19.5" customHeight="1" x14ac:dyDescent="0.35">
      <c r="A10" s="17">
        <v>8</v>
      </c>
      <c r="B10" s="17" t="s">
        <v>45</v>
      </c>
      <c r="C10" s="41" t="s">
        <v>186</v>
      </c>
      <c r="D10" s="41" t="s">
        <v>148</v>
      </c>
      <c r="E10" s="17" t="s">
        <v>174</v>
      </c>
      <c r="F10" s="17" t="s">
        <v>69</v>
      </c>
      <c r="G10" s="20">
        <v>46104</v>
      </c>
      <c r="H10" s="20"/>
      <c r="I10" s="17" t="s">
        <v>21</v>
      </c>
      <c r="J10" s="26" t="s">
        <v>28</v>
      </c>
      <c r="K10" s="18">
        <v>100</v>
      </c>
      <c r="L10" s="16"/>
    </row>
    <row r="11" spans="1:12" ht="19.5" customHeight="1" x14ac:dyDescent="0.35">
      <c r="A11" s="12">
        <v>9</v>
      </c>
      <c r="B11" s="12" t="s">
        <v>44</v>
      </c>
      <c r="C11" s="46" t="s">
        <v>186</v>
      </c>
      <c r="D11" s="46" t="s">
        <v>149</v>
      </c>
      <c r="E11" s="50" t="s">
        <v>175</v>
      </c>
      <c r="F11" s="12" t="s">
        <v>69</v>
      </c>
      <c r="G11" s="15">
        <v>46124</v>
      </c>
      <c r="H11" s="15"/>
      <c r="I11" s="12" t="s">
        <v>21</v>
      </c>
      <c r="J11" s="19" t="s">
        <v>17</v>
      </c>
      <c r="K11" s="13">
        <v>100</v>
      </c>
      <c r="L11" s="11"/>
    </row>
    <row r="12" spans="1:12" ht="19.5" customHeight="1" x14ac:dyDescent="0.35">
      <c r="A12" s="17">
        <v>10</v>
      </c>
      <c r="B12" s="17" t="s">
        <v>43</v>
      </c>
      <c r="C12" s="41" t="s">
        <v>186</v>
      </c>
      <c r="D12" s="41" t="s">
        <v>150</v>
      </c>
      <c r="E12" s="17" t="s">
        <v>175</v>
      </c>
      <c r="F12" s="17" t="s">
        <v>69</v>
      </c>
      <c r="G12" s="20">
        <v>46101</v>
      </c>
      <c r="H12" s="20"/>
      <c r="I12" s="17" t="s">
        <v>21</v>
      </c>
      <c r="J12" s="24" t="s">
        <v>20</v>
      </c>
      <c r="K12" s="18">
        <v>100</v>
      </c>
      <c r="L12" s="16"/>
    </row>
    <row r="13" spans="1:12" ht="19.5" customHeight="1" x14ac:dyDescent="0.35">
      <c r="A13" s="17">
        <v>11</v>
      </c>
      <c r="B13" s="17" t="s">
        <v>42</v>
      </c>
      <c r="C13" s="41" t="s">
        <v>186</v>
      </c>
      <c r="D13" s="41" t="s">
        <v>151</v>
      </c>
      <c r="E13" s="40" t="s">
        <v>176</v>
      </c>
      <c r="F13" s="17" t="s">
        <v>69</v>
      </c>
      <c r="G13" s="20">
        <v>46093</v>
      </c>
      <c r="H13" s="20"/>
      <c r="I13" s="17" t="s">
        <v>24</v>
      </c>
      <c r="J13" s="19" t="s">
        <v>13</v>
      </c>
      <c r="K13" s="18">
        <v>70</v>
      </c>
      <c r="L13" s="16"/>
    </row>
    <row r="14" spans="1:12" ht="19.5" customHeight="1" x14ac:dyDescent="0.35">
      <c r="A14" s="12">
        <v>12</v>
      </c>
      <c r="B14" s="12" t="s">
        <v>41</v>
      </c>
      <c r="C14" s="46" t="s">
        <v>186</v>
      </c>
      <c r="D14" s="46" t="s">
        <v>152</v>
      </c>
      <c r="E14" s="50" t="s">
        <v>176</v>
      </c>
      <c r="F14" s="12" t="s">
        <v>69</v>
      </c>
      <c r="G14" s="15">
        <v>46108</v>
      </c>
      <c r="H14" s="15"/>
      <c r="I14" s="12" t="s">
        <v>21</v>
      </c>
      <c r="J14" s="14" t="s">
        <v>13</v>
      </c>
      <c r="K14" s="13">
        <v>100</v>
      </c>
      <c r="L14" s="11"/>
    </row>
    <row r="15" spans="1:12" ht="19.5" customHeight="1" x14ac:dyDescent="0.35">
      <c r="A15" s="22">
        <v>13</v>
      </c>
      <c r="B15" s="22" t="s">
        <v>40</v>
      </c>
      <c r="C15" s="47" t="s">
        <v>186</v>
      </c>
      <c r="D15" s="47" t="s">
        <v>153</v>
      </c>
      <c r="E15" s="22" t="s">
        <v>176</v>
      </c>
      <c r="F15" s="22" t="s">
        <v>69</v>
      </c>
      <c r="G15" s="25">
        <v>46099</v>
      </c>
      <c r="H15" s="25"/>
      <c r="I15" s="22" t="s">
        <v>21</v>
      </c>
      <c r="J15" s="24" t="s">
        <v>20</v>
      </c>
      <c r="K15" s="23">
        <v>100</v>
      </c>
      <c r="L15" s="21"/>
    </row>
    <row r="16" spans="1:12" ht="19.5" customHeight="1" x14ac:dyDescent="0.35">
      <c r="A16" s="17">
        <v>14</v>
      </c>
      <c r="B16" s="17" t="s">
        <v>39</v>
      </c>
      <c r="C16" s="41" t="s">
        <v>186</v>
      </c>
      <c r="D16" s="41" t="s">
        <v>154</v>
      </c>
      <c r="E16" s="40" t="s">
        <v>176</v>
      </c>
      <c r="F16" s="17" t="s">
        <v>69</v>
      </c>
      <c r="G16" s="20">
        <v>46096</v>
      </c>
      <c r="H16" s="20"/>
      <c r="I16" s="17" t="s">
        <v>21</v>
      </c>
      <c r="J16" s="19" t="s">
        <v>20</v>
      </c>
      <c r="K16" s="18">
        <v>100</v>
      </c>
      <c r="L16" s="16"/>
    </row>
    <row r="17" spans="1:12" ht="19.5" customHeight="1" x14ac:dyDescent="0.35">
      <c r="A17" s="12">
        <v>15</v>
      </c>
      <c r="B17" s="12" t="s">
        <v>38</v>
      </c>
      <c r="C17" s="46" t="s">
        <v>186</v>
      </c>
      <c r="D17" s="46" t="s">
        <v>155</v>
      </c>
      <c r="E17" s="12" t="s">
        <v>176</v>
      </c>
      <c r="F17" s="12" t="s">
        <v>69</v>
      </c>
      <c r="G17" s="15">
        <v>46139</v>
      </c>
      <c r="H17" s="15"/>
      <c r="I17" s="12" t="s">
        <v>21</v>
      </c>
      <c r="J17" s="14" t="s">
        <v>20</v>
      </c>
      <c r="K17" s="13">
        <v>100</v>
      </c>
      <c r="L17" s="11"/>
    </row>
    <row r="18" spans="1:12" x14ac:dyDescent="0.35">
      <c r="A18" s="12">
        <v>16</v>
      </c>
      <c r="B18" s="17" t="s">
        <v>37</v>
      </c>
      <c r="C18" s="41" t="s">
        <v>186</v>
      </c>
      <c r="D18" s="41" t="s">
        <v>156</v>
      </c>
      <c r="E18" s="17" t="s">
        <v>174</v>
      </c>
      <c r="F18" s="17" t="s">
        <v>69</v>
      </c>
      <c r="G18" s="20">
        <v>46101</v>
      </c>
      <c r="H18" s="20"/>
      <c r="I18" s="17" t="s">
        <v>66</v>
      </c>
      <c r="J18" s="19" t="s">
        <v>17</v>
      </c>
      <c r="K18" s="18">
        <v>20</v>
      </c>
      <c r="L18" s="16"/>
    </row>
    <row r="19" spans="1:12" x14ac:dyDescent="0.35">
      <c r="A19" s="12">
        <v>17</v>
      </c>
      <c r="B19" s="17" t="s">
        <v>36</v>
      </c>
      <c r="C19" s="41" t="s">
        <v>186</v>
      </c>
      <c r="D19" s="41" t="s">
        <v>157</v>
      </c>
      <c r="E19" s="17" t="s">
        <v>30</v>
      </c>
      <c r="F19" s="17" t="s">
        <v>69</v>
      </c>
      <c r="G19" s="20">
        <v>46097</v>
      </c>
      <c r="H19" s="20"/>
      <c r="I19" s="17" t="s">
        <v>21</v>
      </c>
      <c r="J19" s="26" t="s">
        <v>28</v>
      </c>
      <c r="K19" s="18">
        <v>100</v>
      </c>
      <c r="L19" s="16"/>
    </row>
    <row r="20" spans="1:12" x14ac:dyDescent="0.35">
      <c r="A20" s="12">
        <v>18</v>
      </c>
      <c r="B20" s="12" t="s">
        <v>35</v>
      </c>
      <c r="C20" s="46" t="s">
        <v>186</v>
      </c>
      <c r="D20" s="46" t="s">
        <v>158</v>
      </c>
      <c r="E20" s="50" t="s">
        <v>176</v>
      </c>
      <c r="F20" s="12" t="s">
        <v>69</v>
      </c>
      <c r="G20" s="15">
        <v>46108</v>
      </c>
      <c r="H20" s="15"/>
      <c r="I20" s="12" t="s">
        <v>21</v>
      </c>
      <c r="J20" s="24" t="s">
        <v>20</v>
      </c>
      <c r="K20" s="13">
        <v>100</v>
      </c>
      <c r="L20" s="11"/>
    </row>
    <row r="21" spans="1:12" x14ac:dyDescent="0.35">
      <c r="A21" s="12">
        <v>19</v>
      </c>
      <c r="B21" s="17" t="s">
        <v>34</v>
      </c>
      <c r="C21" s="41" t="s">
        <v>186</v>
      </c>
      <c r="D21" s="41" t="s">
        <v>159</v>
      </c>
      <c r="E21" s="40" t="s">
        <v>176</v>
      </c>
      <c r="F21" s="17" t="s">
        <v>69</v>
      </c>
      <c r="G21" s="20">
        <v>46092</v>
      </c>
      <c r="H21" s="20"/>
      <c r="I21" s="40" t="s">
        <v>21</v>
      </c>
      <c r="J21" s="26" t="s">
        <v>28</v>
      </c>
      <c r="K21" s="18">
        <v>100</v>
      </c>
      <c r="L21" s="16"/>
    </row>
    <row r="22" spans="1:12" x14ac:dyDescent="0.35">
      <c r="A22" s="12">
        <v>20</v>
      </c>
      <c r="B22" s="12" t="s">
        <v>33</v>
      </c>
      <c r="C22" s="46" t="s">
        <v>186</v>
      </c>
      <c r="D22" s="46" t="s">
        <v>160</v>
      </c>
      <c r="E22" s="12" t="s">
        <v>15</v>
      </c>
      <c r="F22" s="12" t="s">
        <v>69</v>
      </c>
      <c r="G22" s="15">
        <v>46099</v>
      </c>
      <c r="H22" s="15"/>
      <c r="I22" s="12" t="s">
        <v>21</v>
      </c>
      <c r="J22" s="19" t="s">
        <v>17</v>
      </c>
      <c r="K22" s="13">
        <v>100</v>
      </c>
      <c r="L22" s="11"/>
    </row>
    <row r="23" spans="1:12" x14ac:dyDescent="0.35">
      <c r="A23" s="12">
        <v>21</v>
      </c>
      <c r="B23" s="22" t="s">
        <v>32</v>
      </c>
      <c r="C23" s="47" t="s">
        <v>186</v>
      </c>
      <c r="D23" s="47" t="s">
        <v>161</v>
      </c>
      <c r="E23" s="22" t="s">
        <v>70</v>
      </c>
      <c r="F23" s="22" t="s">
        <v>69</v>
      </c>
      <c r="G23" s="25">
        <v>46095</v>
      </c>
      <c r="H23" s="25"/>
      <c r="I23" s="22" t="s">
        <v>21</v>
      </c>
      <c r="J23" s="14" t="s">
        <v>28</v>
      </c>
      <c r="K23" s="23">
        <v>100</v>
      </c>
      <c r="L23" s="21"/>
    </row>
    <row r="24" spans="1:12" x14ac:dyDescent="0.35">
      <c r="A24" s="12">
        <v>22</v>
      </c>
      <c r="B24" s="12" t="s">
        <v>31</v>
      </c>
      <c r="C24" s="46" t="s">
        <v>186</v>
      </c>
      <c r="D24" s="46" t="s">
        <v>162</v>
      </c>
      <c r="E24" s="12" t="s">
        <v>70</v>
      </c>
      <c r="F24" s="12" t="s">
        <v>69</v>
      </c>
      <c r="G24" s="15">
        <v>46115</v>
      </c>
      <c r="H24" s="15"/>
      <c r="I24" s="12" t="s">
        <v>21</v>
      </c>
      <c r="J24" s="24" t="s">
        <v>20</v>
      </c>
      <c r="K24" s="13">
        <v>100</v>
      </c>
      <c r="L24" s="11"/>
    </row>
    <row r="25" spans="1:12" x14ac:dyDescent="0.35">
      <c r="A25" s="12">
        <v>23</v>
      </c>
      <c r="B25" s="17" t="s">
        <v>29</v>
      </c>
      <c r="C25" s="41" t="s">
        <v>186</v>
      </c>
      <c r="D25" s="41" t="s">
        <v>163</v>
      </c>
      <c r="E25" s="17" t="s">
        <v>70</v>
      </c>
      <c r="F25" s="17" t="s">
        <v>69</v>
      </c>
      <c r="G25" s="20">
        <v>46104</v>
      </c>
      <c r="H25" s="20"/>
      <c r="I25" s="17" t="s">
        <v>21</v>
      </c>
      <c r="J25" s="26" t="s">
        <v>28</v>
      </c>
      <c r="K25" s="18">
        <v>100</v>
      </c>
      <c r="L25" s="16"/>
    </row>
    <row r="26" spans="1:12" x14ac:dyDescent="0.35">
      <c r="A26" s="12">
        <v>24</v>
      </c>
      <c r="B26" s="12" t="s">
        <v>27</v>
      </c>
      <c r="C26" s="46" t="s">
        <v>186</v>
      </c>
      <c r="D26" s="46" t="s">
        <v>164</v>
      </c>
      <c r="E26" s="50" t="s">
        <v>176</v>
      </c>
      <c r="F26" s="12" t="s">
        <v>69</v>
      </c>
      <c r="G26" s="15">
        <v>46124</v>
      </c>
      <c r="H26" s="15"/>
      <c r="I26" s="12" t="s">
        <v>24</v>
      </c>
      <c r="J26" s="19" t="s">
        <v>17</v>
      </c>
      <c r="K26" s="13">
        <v>70</v>
      </c>
      <c r="L26" s="11"/>
    </row>
    <row r="27" spans="1:12" x14ac:dyDescent="0.35">
      <c r="A27" s="12">
        <v>25</v>
      </c>
      <c r="B27" s="17" t="s">
        <v>26</v>
      </c>
      <c r="C27" s="41" t="s">
        <v>186</v>
      </c>
      <c r="D27" s="41" t="s">
        <v>165</v>
      </c>
      <c r="E27" s="40" t="s">
        <v>176</v>
      </c>
      <c r="F27" s="17" t="s">
        <v>69</v>
      </c>
      <c r="G27" s="20">
        <v>46101</v>
      </c>
      <c r="H27" s="20"/>
      <c r="I27" s="17" t="s">
        <v>21</v>
      </c>
      <c r="J27" s="24" t="s">
        <v>20</v>
      </c>
      <c r="K27" s="18">
        <v>100</v>
      </c>
      <c r="L27" s="16"/>
    </row>
    <row r="28" spans="1:12" x14ac:dyDescent="0.35">
      <c r="A28" s="12">
        <v>26</v>
      </c>
      <c r="B28" s="17" t="s">
        <v>25</v>
      </c>
      <c r="C28" s="41" t="s">
        <v>186</v>
      </c>
      <c r="D28" s="41" t="s">
        <v>166</v>
      </c>
      <c r="E28" s="17" t="s">
        <v>30</v>
      </c>
      <c r="F28" s="17" t="s">
        <v>69</v>
      </c>
      <c r="G28" s="20">
        <v>46093</v>
      </c>
      <c r="H28" s="20"/>
      <c r="I28" s="17" t="s">
        <v>21</v>
      </c>
      <c r="J28" s="19" t="s">
        <v>20</v>
      </c>
      <c r="K28" s="18">
        <v>100</v>
      </c>
      <c r="L28" s="16"/>
    </row>
    <row r="29" spans="1:12" x14ac:dyDescent="0.35">
      <c r="A29" s="12">
        <v>27</v>
      </c>
      <c r="B29" s="12" t="s">
        <v>23</v>
      </c>
      <c r="C29" s="46" t="s">
        <v>186</v>
      </c>
      <c r="D29" s="46" t="s">
        <v>167</v>
      </c>
      <c r="E29" s="12" t="s">
        <v>174</v>
      </c>
      <c r="F29" s="12" t="s">
        <v>69</v>
      </c>
      <c r="G29" s="15">
        <v>46108</v>
      </c>
      <c r="H29" s="15"/>
      <c r="I29" s="12" t="s">
        <v>21</v>
      </c>
      <c r="J29" s="14" t="s">
        <v>20</v>
      </c>
      <c r="K29" s="13">
        <v>100</v>
      </c>
      <c r="L29" s="11"/>
    </row>
    <row r="30" spans="1:12" x14ac:dyDescent="0.35">
      <c r="A30" s="12">
        <v>28</v>
      </c>
      <c r="B30" s="22" t="s">
        <v>22</v>
      </c>
      <c r="C30" s="47" t="s">
        <v>186</v>
      </c>
      <c r="D30" s="47" t="s">
        <v>168</v>
      </c>
      <c r="E30" s="22" t="s">
        <v>174</v>
      </c>
      <c r="F30" s="22" t="s">
        <v>69</v>
      </c>
      <c r="G30" s="25">
        <v>46099</v>
      </c>
      <c r="H30" s="25"/>
      <c r="I30" s="22" t="s">
        <v>21</v>
      </c>
      <c r="J30" s="24" t="s">
        <v>20</v>
      </c>
      <c r="K30" s="23">
        <v>100</v>
      </c>
      <c r="L30" s="21"/>
    </row>
    <row r="31" spans="1:12" ht="26.4" customHeight="1" x14ac:dyDescent="0.35">
      <c r="A31" s="12">
        <v>29</v>
      </c>
      <c r="B31" s="17" t="s">
        <v>19</v>
      </c>
      <c r="C31" s="41" t="s">
        <v>186</v>
      </c>
      <c r="D31" s="41" t="s">
        <v>169</v>
      </c>
      <c r="E31" s="17" t="s">
        <v>70</v>
      </c>
      <c r="F31" s="17" t="s">
        <v>69</v>
      </c>
      <c r="G31" s="20">
        <v>46096</v>
      </c>
      <c r="H31" s="20"/>
      <c r="I31" s="17" t="s">
        <v>21</v>
      </c>
      <c r="J31" s="19" t="s">
        <v>17</v>
      </c>
      <c r="K31" s="18">
        <v>100</v>
      </c>
      <c r="L31" s="16"/>
    </row>
    <row r="32" spans="1:12" x14ac:dyDescent="0.35">
      <c r="A32" s="12">
        <v>30</v>
      </c>
      <c r="B32" s="12" t="s">
        <v>16</v>
      </c>
      <c r="C32" s="46" t="s">
        <v>186</v>
      </c>
      <c r="D32" s="46" t="s">
        <v>170</v>
      </c>
      <c r="E32" s="12" t="s">
        <v>70</v>
      </c>
      <c r="F32" s="12" t="s">
        <v>69</v>
      </c>
      <c r="G32" s="15">
        <v>46139</v>
      </c>
      <c r="H32" s="15"/>
      <c r="I32" s="12" t="s">
        <v>21</v>
      </c>
      <c r="J32" s="14" t="s">
        <v>13</v>
      </c>
      <c r="K32" s="13">
        <v>100</v>
      </c>
      <c r="L32" s="11"/>
    </row>
    <row r="33" spans="1:12" x14ac:dyDescent="0.35">
      <c r="A33" s="12">
        <v>31</v>
      </c>
      <c r="B33" s="17" t="s">
        <v>71</v>
      </c>
      <c r="C33" s="41" t="s">
        <v>186</v>
      </c>
      <c r="D33" s="41" t="s">
        <v>171</v>
      </c>
      <c r="E33" s="40" t="s">
        <v>175</v>
      </c>
      <c r="F33" s="17" t="s">
        <v>69</v>
      </c>
      <c r="G33" s="20">
        <v>46140</v>
      </c>
      <c r="H33" s="20"/>
      <c r="I33" s="17" t="s">
        <v>24</v>
      </c>
      <c r="J33" s="19" t="s">
        <v>17</v>
      </c>
      <c r="K33" s="18">
        <v>10</v>
      </c>
      <c r="L33" s="16"/>
    </row>
    <row r="34" spans="1:12" ht="25" x14ac:dyDescent="0.35">
      <c r="A34" s="12">
        <v>32</v>
      </c>
      <c r="B34" s="17" t="s">
        <v>72</v>
      </c>
      <c r="C34" s="41" t="s">
        <v>186</v>
      </c>
      <c r="D34" s="41" t="s">
        <v>177</v>
      </c>
      <c r="E34" s="17" t="s">
        <v>175</v>
      </c>
      <c r="F34" s="40" t="s">
        <v>69</v>
      </c>
      <c r="G34" s="51" t="s">
        <v>179</v>
      </c>
      <c r="H34" s="51"/>
      <c r="I34" s="40" t="s">
        <v>14</v>
      </c>
      <c r="J34" s="19" t="s">
        <v>13</v>
      </c>
      <c r="K34" s="18">
        <v>0</v>
      </c>
      <c r="L34" s="16"/>
    </row>
    <row r="35" spans="1:12" x14ac:dyDescent="0.35">
      <c r="A35" s="12">
        <v>33</v>
      </c>
      <c r="B35" s="12" t="s">
        <v>73</v>
      </c>
      <c r="C35" s="46" t="s">
        <v>186</v>
      </c>
      <c r="D35" s="46" t="s">
        <v>178</v>
      </c>
      <c r="E35" s="12" t="s">
        <v>174</v>
      </c>
      <c r="F35" s="50" t="s">
        <v>69</v>
      </c>
      <c r="G35" s="15" t="s">
        <v>179</v>
      </c>
      <c r="H35" s="15"/>
      <c r="I35" s="15" t="s">
        <v>14</v>
      </c>
      <c r="J35" s="19" t="s">
        <v>13</v>
      </c>
      <c r="K35" s="13">
        <v>0</v>
      </c>
      <c r="L35" s="11"/>
    </row>
    <row r="36" spans="1:12" x14ac:dyDescent="0.35">
      <c r="A36" s="12">
        <v>34</v>
      </c>
      <c r="B36" s="17" t="s">
        <v>74</v>
      </c>
      <c r="C36" s="41" t="s">
        <v>186</v>
      </c>
      <c r="D36" s="43" t="s">
        <v>180</v>
      </c>
      <c r="E36" s="17" t="s">
        <v>30</v>
      </c>
      <c r="F36" s="40" t="s">
        <v>69</v>
      </c>
      <c r="G36" s="20">
        <v>46140</v>
      </c>
      <c r="H36" s="20"/>
      <c r="I36" s="17" t="s">
        <v>21</v>
      </c>
      <c r="J36" s="19" t="s">
        <v>20</v>
      </c>
      <c r="K36" s="18">
        <v>100</v>
      </c>
      <c r="L36" s="16"/>
    </row>
    <row r="37" spans="1:12" x14ac:dyDescent="0.35">
      <c r="A37" s="12">
        <v>35</v>
      </c>
      <c r="B37" s="12" t="s">
        <v>75</v>
      </c>
      <c r="C37" s="46" t="s">
        <v>186</v>
      </c>
      <c r="D37" s="42" t="s">
        <v>181</v>
      </c>
      <c r="E37" s="12" t="s">
        <v>18</v>
      </c>
      <c r="F37" s="12" t="s">
        <v>69</v>
      </c>
      <c r="G37" s="15">
        <v>46140</v>
      </c>
      <c r="H37" s="15"/>
      <c r="I37" s="15" t="s">
        <v>21</v>
      </c>
      <c r="J37" s="19" t="s">
        <v>20</v>
      </c>
      <c r="K37" s="13">
        <v>100</v>
      </c>
      <c r="L37" s="11"/>
    </row>
    <row r="38" spans="1:12" x14ac:dyDescent="0.35">
      <c r="A38" s="12">
        <v>36</v>
      </c>
      <c r="B38" s="22" t="s">
        <v>76</v>
      </c>
      <c r="C38" s="47" t="s">
        <v>186</v>
      </c>
      <c r="D38" s="44" t="s">
        <v>182</v>
      </c>
      <c r="E38" s="22" t="s">
        <v>30</v>
      </c>
      <c r="F38" s="22" t="s">
        <v>69</v>
      </c>
      <c r="G38" s="25">
        <v>46140</v>
      </c>
      <c r="H38" s="25"/>
      <c r="I38" s="17" t="s">
        <v>21</v>
      </c>
      <c r="J38" s="14" t="s">
        <v>28</v>
      </c>
      <c r="K38" s="23">
        <v>100</v>
      </c>
      <c r="L38" s="21"/>
    </row>
    <row r="39" spans="1:12" x14ac:dyDescent="0.35">
      <c r="A39" s="12">
        <v>37</v>
      </c>
      <c r="B39" s="12" t="s">
        <v>77</v>
      </c>
      <c r="C39" s="46" t="s">
        <v>186</v>
      </c>
      <c r="D39" s="42" t="s">
        <v>183</v>
      </c>
      <c r="E39" s="12" t="s">
        <v>30</v>
      </c>
      <c r="F39" s="12" t="s">
        <v>69</v>
      </c>
      <c r="G39" s="15"/>
      <c r="H39" s="15"/>
      <c r="I39" s="17" t="s">
        <v>14</v>
      </c>
      <c r="J39" s="24" t="s">
        <v>17</v>
      </c>
      <c r="K39" s="13">
        <v>0</v>
      </c>
      <c r="L39" s="11"/>
    </row>
    <row r="40" spans="1:12" x14ac:dyDescent="0.35">
      <c r="A40" s="12">
        <v>38</v>
      </c>
      <c r="B40" s="17" t="s">
        <v>78</v>
      </c>
      <c r="C40" s="41"/>
      <c r="D40" s="43"/>
      <c r="E40" s="17" t="s">
        <v>30</v>
      </c>
      <c r="F40" s="17" t="s">
        <v>69</v>
      </c>
      <c r="G40" s="20"/>
      <c r="H40" s="20"/>
      <c r="I40" s="17" t="s">
        <v>14</v>
      </c>
      <c r="J40" s="26" t="s">
        <v>17</v>
      </c>
      <c r="K40" s="18">
        <v>0</v>
      </c>
      <c r="L40" s="16"/>
    </row>
    <row r="41" spans="1:12" x14ac:dyDescent="0.35">
      <c r="A41" s="12">
        <v>39</v>
      </c>
      <c r="B41" s="12" t="s">
        <v>79</v>
      </c>
      <c r="C41" s="46"/>
      <c r="D41" s="42"/>
      <c r="E41" s="12"/>
      <c r="F41" s="12"/>
      <c r="G41" s="15"/>
      <c r="H41" s="15"/>
      <c r="I41" s="12"/>
      <c r="J41" s="19"/>
      <c r="K41" s="13"/>
      <c r="L41" s="11"/>
    </row>
    <row r="42" spans="1:12" x14ac:dyDescent="0.35">
      <c r="A42" s="12">
        <v>40</v>
      </c>
      <c r="B42" s="17" t="s">
        <v>80</v>
      </c>
      <c r="C42" s="41"/>
      <c r="D42" s="43"/>
      <c r="E42" s="17"/>
      <c r="F42" s="17"/>
      <c r="G42" s="20"/>
      <c r="H42" s="20"/>
      <c r="I42" s="17"/>
      <c r="J42" s="24"/>
      <c r="K42" s="18"/>
      <c r="L42" s="16"/>
    </row>
    <row r="43" spans="1:12" x14ac:dyDescent="0.35">
      <c r="A43" s="12">
        <v>41</v>
      </c>
      <c r="B43" s="17" t="s">
        <v>81</v>
      </c>
      <c r="C43" s="41"/>
      <c r="D43" s="43"/>
      <c r="E43" s="17"/>
      <c r="F43" s="17"/>
      <c r="G43" s="20"/>
      <c r="H43" s="20"/>
      <c r="I43" s="17"/>
      <c r="J43" s="19"/>
      <c r="K43" s="18"/>
      <c r="L43" s="16"/>
    </row>
    <row r="44" spans="1:12" x14ac:dyDescent="0.35">
      <c r="A44" s="12">
        <v>42</v>
      </c>
      <c r="B44" s="12" t="s">
        <v>82</v>
      </c>
      <c r="C44" s="46"/>
      <c r="D44" s="42"/>
      <c r="E44" s="12"/>
      <c r="F44" s="12"/>
      <c r="G44" s="15"/>
      <c r="H44" s="15"/>
      <c r="I44" s="12"/>
      <c r="J44" s="14"/>
      <c r="K44" s="13"/>
      <c r="L44" s="11"/>
    </row>
    <row r="45" spans="1:12" ht="26.4" customHeight="1" x14ac:dyDescent="0.35">
      <c r="A45" s="12">
        <v>43</v>
      </c>
      <c r="B45" s="22" t="s">
        <v>83</v>
      </c>
      <c r="C45" s="47"/>
      <c r="D45" s="44"/>
      <c r="E45" s="22"/>
      <c r="F45" s="22"/>
      <c r="G45" s="25"/>
      <c r="H45" s="25"/>
      <c r="I45" s="22"/>
      <c r="J45" s="24"/>
      <c r="K45" s="23"/>
      <c r="L45" s="21"/>
    </row>
    <row r="46" spans="1:12" x14ac:dyDescent="0.35">
      <c r="A46" s="12">
        <v>44</v>
      </c>
      <c r="B46" s="17" t="s">
        <v>84</v>
      </c>
      <c r="C46" s="41"/>
      <c r="D46" s="43"/>
      <c r="E46" s="17"/>
      <c r="F46" s="17"/>
      <c r="G46" s="20"/>
      <c r="H46" s="20"/>
      <c r="I46" s="17"/>
      <c r="J46" s="19"/>
      <c r="K46" s="18"/>
      <c r="L46" s="16"/>
    </row>
    <row r="47" spans="1:12" x14ac:dyDescent="0.35">
      <c r="A47" s="12">
        <v>45</v>
      </c>
      <c r="B47" s="12" t="s">
        <v>85</v>
      </c>
      <c r="C47" s="46"/>
      <c r="D47" s="42"/>
      <c r="E47" s="12"/>
      <c r="F47" s="12"/>
      <c r="G47" s="15"/>
      <c r="H47" s="15"/>
      <c r="I47" s="12"/>
      <c r="J47" s="14"/>
      <c r="K47" s="13"/>
      <c r="L47" s="11"/>
    </row>
    <row r="48" spans="1:12" x14ac:dyDescent="0.35">
      <c r="A48" s="12">
        <v>46</v>
      </c>
      <c r="B48" s="17" t="s">
        <v>86</v>
      </c>
      <c r="C48" s="41"/>
      <c r="D48" s="43"/>
      <c r="E48" s="17"/>
      <c r="F48" s="17"/>
      <c r="G48" s="20"/>
      <c r="H48" s="20"/>
      <c r="I48" s="17"/>
      <c r="J48" s="19"/>
      <c r="K48" s="18"/>
      <c r="L48" s="16"/>
    </row>
    <row r="49" spans="1:12" x14ac:dyDescent="0.35">
      <c r="A49" s="12">
        <v>47</v>
      </c>
      <c r="B49" s="17" t="s">
        <v>87</v>
      </c>
      <c r="C49" s="41"/>
      <c r="D49" s="43"/>
      <c r="E49" s="17"/>
      <c r="F49" s="17"/>
      <c r="G49" s="20"/>
      <c r="H49" s="20"/>
      <c r="I49" s="17"/>
      <c r="J49" s="26"/>
      <c r="K49" s="18"/>
      <c r="L49" s="16"/>
    </row>
    <row r="50" spans="1:12" x14ac:dyDescent="0.35">
      <c r="A50" s="12">
        <v>48</v>
      </c>
      <c r="B50" s="12" t="s">
        <v>88</v>
      </c>
      <c r="C50" s="46"/>
      <c r="D50" s="42"/>
      <c r="E50" s="12"/>
      <c r="F50" s="12"/>
      <c r="G50" s="15"/>
      <c r="H50" s="15"/>
      <c r="I50" s="12"/>
      <c r="J50" s="24"/>
      <c r="K50" s="13"/>
      <c r="L50" s="11"/>
    </row>
    <row r="51" spans="1:12" x14ac:dyDescent="0.35">
      <c r="A51" s="12">
        <v>49</v>
      </c>
      <c r="B51" s="17" t="s">
        <v>89</v>
      </c>
      <c r="C51" s="41"/>
      <c r="D51" s="43"/>
      <c r="E51" s="17"/>
      <c r="F51" s="17"/>
      <c r="G51" s="20"/>
      <c r="H51" s="20"/>
      <c r="I51" s="17"/>
      <c r="J51" s="26"/>
      <c r="K51" s="18"/>
      <c r="L51" s="16"/>
    </row>
    <row r="52" spans="1:12" x14ac:dyDescent="0.35">
      <c r="A52" s="12">
        <v>50</v>
      </c>
      <c r="B52" s="12" t="s">
        <v>90</v>
      </c>
      <c r="C52" s="46"/>
      <c r="D52" s="42"/>
      <c r="E52" s="12"/>
      <c r="F52" s="12"/>
      <c r="G52" s="15"/>
      <c r="H52" s="15"/>
      <c r="I52" s="12"/>
      <c r="J52" s="19"/>
      <c r="K52" s="13"/>
      <c r="L52" s="11"/>
    </row>
    <row r="53" spans="1:12" x14ac:dyDescent="0.35">
      <c r="A53" s="12">
        <v>51</v>
      </c>
      <c r="B53" s="22" t="s">
        <v>91</v>
      </c>
      <c r="C53" s="47"/>
      <c r="D53" s="44"/>
      <c r="E53" s="22"/>
      <c r="F53" s="22"/>
      <c r="G53" s="25"/>
      <c r="H53" s="25"/>
      <c r="I53" s="22"/>
      <c r="J53" s="14"/>
      <c r="K53" s="23"/>
      <c r="L53" s="21"/>
    </row>
    <row r="54" spans="1:12" x14ac:dyDescent="0.35">
      <c r="A54" s="12">
        <v>52</v>
      </c>
      <c r="B54" s="12" t="s">
        <v>92</v>
      </c>
      <c r="C54" s="46"/>
      <c r="D54" s="42"/>
      <c r="E54" s="12"/>
      <c r="F54" s="12"/>
      <c r="G54" s="15"/>
      <c r="H54" s="15"/>
      <c r="I54" s="12"/>
      <c r="J54" s="24"/>
      <c r="K54" s="13"/>
      <c r="L54" s="11"/>
    </row>
    <row r="55" spans="1:12" x14ac:dyDescent="0.35">
      <c r="A55" s="12">
        <v>53</v>
      </c>
      <c r="B55" s="17" t="s">
        <v>93</v>
      </c>
      <c r="C55" s="41"/>
      <c r="D55" s="43"/>
      <c r="E55" s="17"/>
      <c r="F55" s="17"/>
      <c r="G55" s="20"/>
      <c r="H55" s="20"/>
      <c r="I55" s="17"/>
      <c r="J55" s="26"/>
      <c r="K55" s="18"/>
      <c r="L55" s="16"/>
    </row>
    <row r="56" spans="1:12" x14ac:dyDescent="0.35">
      <c r="A56" s="12">
        <v>54</v>
      </c>
      <c r="B56" s="12" t="s">
        <v>94</v>
      </c>
      <c r="C56" s="46"/>
      <c r="D56" s="42"/>
      <c r="E56" s="12"/>
      <c r="F56" s="12"/>
      <c r="G56" s="15"/>
      <c r="H56" s="15"/>
      <c r="I56" s="12"/>
      <c r="J56" s="19"/>
      <c r="K56" s="13"/>
      <c r="L56" s="11"/>
    </row>
    <row r="57" spans="1:12" x14ac:dyDescent="0.35">
      <c r="A57" s="12">
        <v>55</v>
      </c>
      <c r="B57" s="17" t="s">
        <v>95</v>
      </c>
      <c r="C57" s="41"/>
      <c r="D57" s="43"/>
      <c r="E57" s="17"/>
      <c r="F57" s="17"/>
      <c r="G57" s="20"/>
      <c r="H57" s="20"/>
      <c r="I57" s="17"/>
      <c r="J57" s="24"/>
      <c r="K57" s="18"/>
      <c r="L57" s="16"/>
    </row>
    <row r="58" spans="1:12" x14ac:dyDescent="0.35">
      <c r="A58" s="12">
        <v>56</v>
      </c>
      <c r="B58" s="17" t="s">
        <v>96</v>
      </c>
      <c r="C58" s="41"/>
      <c r="D58" s="43"/>
      <c r="E58" s="17"/>
      <c r="F58" s="17"/>
      <c r="G58" s="20"/>
      <c r="H58" s="20"/>
      <c r="I58" s="17"/>
      <c r="J58" s="19"/>
      <c r="K58" s="18"/>
      <c r="L58" s="16"/>
    </row>
    <row r="59" spans="1:12" x14ac:dyDescent="0.35">
      <c r="A59" s="12">
        <v>57</v>
      </c>
      <c r="B59" s="12" t="s">
        <v>97</v>
      </c>
      <c r="C59" s="46"/>
      <c r="D59" s="42"/>
      <c r="E59" s="12"/>
      <c r="F59" s="12"/>
      <c r="G59" s="15"/>
      <c r="H59" s="15"/>
      <c r="I59" s="12"/>
      <c r="J59" s="14"/>
      <c r="K59" s="13"/>
      <c r="L59" s="11"/>
    </row>
    <row r="60" spans="1:12" x14ac:dyDescent="0.35">
      <c r="A60" s="12">
        <v>58</v>
      </c>
      <c r="B60" s="22" t="s">
        <v>98</v>
      </c>
      <c r="C60" s="47"/>
      <c r="D60" s="44"/>
      <c r="E60" s="22"/>
      <c r="F60" s="22"/>
      <c r="G60" s="25"/>
      <c r="H60" s="25"/>
      <c r="I60" s="22"/>
      <c r="J60" s="24"/>
      <c r="K60" s="23"/>
      <c r="L60" s="21"/>
    </row>
    <row r="61" spans="1:12" x14ac:dyDescent="0.35">
      <c r="A61" s="12">
        <v>59</v>
      </c>
      <c r="B61" s="17" t="s">
        <v>99</v>
      </c>
      <c r="C61" s="41"/>
      <c r="D61" s="43"/>
      <c r="E61" s="17"/>
      <c r="F61" s="17"/>
      <c r="G61" s="20"/>
      <c r="H61" s="20"/>
      <c r="I61" s="17"/>
      <c r="J61" s="19"/>
      <c r="K61" s="18"/>
      <c r="L61" s="16"/>
    </row>
    <row r="62" spans="1:12" ht="26.4" customHeight="1" x14ac:dyDescent="0.35">
      <c r="A62" s="12">
        <v>60</v>
      </c>
      <c r="B62" s="12" t="s">
        <v>100</v>
      </c>
      <c r="C62" s="46"/>
      <c r="D62" s="42"/>
      <c r="E62" s="12"/>
      <c r="F62" s="12"/>
      <c r="G62" s="15"/>
      <c r="H62" s="15"/>
      <c r="I62" s="12"/>
      <c r="J62" s="14"/>
      <c r="K62" s="13"/>
      <c r="L62" s="11"/>
    </row>
    <row r="63" spans="1:12" x14ac:dyDescent="0.35">
      <c r="A63" s="12">
        <v>61</v>
      </c>
      <c r="B63" s="17" t="s">
        <v>101</v>
      </c>
      <c r="C63" s="41"/>
      <c r="D63" s="43"/>
      <c r="E63" s="17"/>
      <c r="F63" s="17"/>
      <c r="G63" s="20"/>
      <c r="H63" s="20"/>
      <c r="I63" s="17"/>
      <c r="J63" s="19"/>
      <c r="K63" s="18"/>
      <c r="L63" s="16"/>
    </row>
    <row r="64" spans="1:12" x14ac:dyDescent="0.35">
      <c r="A64" s="12">
        <v>62</v>
      </c>
      <c r="B64" s="17" t="s">
        <v>102</v>
      </c>
      <c r="C64" s="41"/>
      <c r="D64" s="43"/>
      <c r="E64" s="17"/>
      <c r="F64" s="17"/>
      <c r="G64" s="20"/>
      <c r="H64" s="20"/>
      <c r="I64" s="17"/>
      <c r="J64" s="19"/>
      <c r="K64" s="18"/>
      <c r="L64" s="16"/>
    </row>
    <row r="65" spans="1:12" x14ac:dyDescent="0.35">
      <c r="A65" s="12">
        <v>63</v>
      </c>
      <c r="B65" s="12" t="s">
        <v>103</v>
      </c>
      <c r="C65" s="46"/>
      <c r="D65" s="42"/>
      <c r="E65" s="12"/>
      <c r="F65" s="12"/>
      <c r="G65" s="15"/>
      <c r="H65" s="15"/>
      <c r="I65" s="15"/>
      <c r="J65" s="19"/>
      <c r="K65" s="13"/>
      <c r="L65" s="11"/>
    </row>
    <row r="66" spans="1:12" x14ac:dyDescent="0.35">
      <c r="A66" s="12">
        <v>64</v>
      </c>
      <c r="B66" s="17" t="s">
        <v>104</v>
      </c>
      <c r="C66" s="41"/>
      <c r="D66" s="43"/>
      <c r="E66" s="17"/>
      <c r="F66" s="17"/>
      <c r="G66" s="20"/>
      <c r="H66" s="20"/>
      <c r="I66" s="17"/>
      <c r="J66" s="19"/>
      <c r="K66" s="18"/>
      <c r="L66" s="16"/>
    </row>
    <row r="67" spans="1:12" x14ac:dyDescent="0.35">
      <c r="A67" s="12">
        <v>65</v>
      </c>
      <c r="B67" s="12" t="s">
        <v>105</v>
      </c>
      <c r="C67" s="46"/>
      <c r="D67" s="42"/>
      <c r="E67" s="12"/>
      <c r="F67" s="12"/>
      <c r="G67" s="15"/>
      <c r="H67" s="15"/>
      <c r="I67" s="15"/>
      <c r="J67" s="19"/>
      <c r="K67" s="13"/>
      <c r="L67" s="11"/>
    </row>
    <row r="68" spans="1:12" x14ac:dyDescent="0.35">
      <c r="A68" s="12">
        <v>66</v>
      </c>
      <c r="B68" s="22" t="s">
        <v>106</v>
      </c>
      <c r="C68" s="47"/>
      <c r="D68" s="44"/>
      <c r="E68" s="22"/>
      <c r="F68" s="22"/>
      <c r="G68" s="25"/>
      <c r="H68" s="25"/>
      <c r="I68" s="17"/>
      <c r="J68" s="14"/>
      <c r="K68" s="23"/>
      <c r="L68" s="21"/>
    </row>
    <row r="69" spans="1:12" x14ac:dyDescent="0.35">
      <c r="A69" s="12">
        <v>67</v>
      </c>
      <c r="B69" s="12" t="s">
        <v>107</v>
      </c>
      <c r="C69" s="46"/>
      <c r="D69" s="42"/>
      <c r="E69" s="12"/>
      <c r="F69" s="12"/>
      <c r="G69" s="15"/>
      <c r="H69" s="15"/>
      <c r="I69" s="17"/>
      <c r="J69" s="24"/>
      <c r="K69" s="13"/>
      <c r="L69" s="11"/>
    </row>
    <row r="70" spans="1:12" x14ac:dyDescent="0.35">
      <c r="A70" s="12">
        <v>68</v>
      </c>
      <c r="B70" s="17" t="s">
        <v>108</v>
      </c>
      <c r="C70" s="41"/>
      <c r="D70" s="43"/>
      <c r="E70" s="17"/>
      <c r="F70" s="17"/>
      <c r="G70" s="20"/>
      <c r="H70" s="20"/>
      <c r="I70" s="17"/>
      <c r="J70" s="26"/>
      <c r="K70" s="18"/>
      <c r="L70" s="16"/>
    </row>
    <row r="71" spans="1:12" x14ac:dyDescent="0.35">
      <c r="A71" s="12">
        <v>69</v>
      </c>
      <c r="B71" s="12" t="s">
        <v>109</v>
      </c>
      <c r="C71" s="46"/>
      <c r="D71" s="42"/>
      <c r="E71" s="12"/>
      <c r="F71" s="12"/>
      <c r="G71" s="15"/>
      <c r="H71" s="15"/>
      <c r="I71" s="12"/>
      <c r="J71" s="19"/>
      <c r="K71" s="13"/>
      <c r="L71" s="11"/>
    </row>
    <row r="72" spans="1:12" x14ac:dyDescent="0.35">
      <c r="A72" s="12">
        <v>70</v>
      </c>
      <c r="B72" s="17" t="s">
        <v>110</v>
      </c>
      <c r="C72" s="41"/>
      <c r="D72" s="43"/>
      <c r="E72" s="17"/>
      <c r="F72" s="17"/>
      <c r="G72" s="20"/>
      <c r="H72" s="20"/>
      <c r="I72" s="17"/>
      <c r="J72" s="24"/>
      <c r="K72" s="18"/>
      <c r="L72" s="16"/>
    </row>
    <row r="73" spans="1:12" x14ac:dyDescent="0.35">
      <c r="A73" s="12">
        <v>71</v>
      </c>
      <c r="B73" s="17" t="s">
        <v>111</v>
      </c>
      <c r="C73" s="41"/>
      <c r="D73" s="43"/>
      <c r="E73" s="17"/>
      <c r="F73" s="17"/>
      <c r="G73" s="20"/>
      <c r="H73" s="20"/>
      <c r="I73" s="17"/>
      <c r="J73" s="19"/>
      <c r="K73" s="18"/>
      <c r="L73" s="16"/>
    </row>
    <row r="74" spans="1:12" x14ac:dyDescent="0.35">
      <c r="A74" s="12">
        <v>72</v>
      </c>
      <c r="B74" s="12" t="s">
        <v>112</v>
      </c>
      <c r="C74" s="46"/>
      <c r="D74" s="42"/>
      <c r="E74" s="12"/>
      <c r="F74" s="12"/>
      <c r="G74" s="15"/>
      <c r="H74" s="15"/>
      <c r="I74" s="12"/>
      <c r="J74" s="14"/>
      <c r="K74" s="13"/>
      <c r="L74" s="11"/>
    </row>
    <row r="75" spans="1:12" x14ac:dyDescent="0.35">
      <c r="A75" s="12">
        <v>73</v>
      </c>
      <c r="B75" s="22" t="s">
        <v>113</v>
      </c>
      <c r="C75" s="47"/>
      <c r="D75" s="44"/>
      <c r="E75" s="22"/>
      <c r="F75" s="22"/>
      <c r="G75" s="25"/>
      <c r="H75" s="25"/>
      <c r="I75" s="22"/>
      <c r="J75" s="24"/>
      <c r="K75" s="23"/>
      <c r="L75" s="21"/>
    </row>
    <row r="76" spans="1:12" x14ac:dyDescent="0.35">
      <c r="A76" s="12">
        <v>74</v>
      </c>
      <c r="B76" s="17" t="s">
        <v>114</v>
      </c>
      <c r="C76" s="41"/>
      <c r="D76" s="43"/>
      <c r="E76" s="17"/>
      <c r="F76" s="17"/>
      <c r="G76" s="20"/>
      <c r="H76" s="20"/>
      <c r="I76" s="17"/>
      <c r="J76" s="19"/>
      <c r="K76" s="18"/>
      <c r="L76" s="16"/>
    </row>
    <row r="77" spans="1:12" x14ac:dyDescent="0.35">
      <c r="A77" s="12">
        <v>75</v>
      </c>
      <c r="B77" s="12" t="s">
        <v>115</v>
      </c>
      <c r="C77" s="46"/>
      <c r="D77" s="42"/>
      <c r="E77" s="12"/>
      <c r="F77" s="12"/>
      <c r="G77" s="15"/>
      <c r="H77" s="15"/>
      <c r="I77" s="12"/>
      <c r="J77" s="14"/>
      <c r="K77" s="13"/>
      <c r="L77" s="11"/>
    </row>
    <row r="78" spans="1:12" x14ac:dyDescent="0.35">
      <c r="A78" s="12">
        <v>76</v>
      </c>
      <c r="B78" s="17" t="s">
        <v>116</v>
      </c>
      <c r="C78" s="41"/>
      <c r="D78" s="43"/>
      <c r="E78" s="17"/>
      <c r="F78" s="17"/>
      <c r="G78" s="20"/>
      <c r="H78" s="20"/>
      <c r="I78" s="17"/>
      <c r="J78" s="19"/>
      <c r="K78" s="18"/>
      <c r="L78" s="16"/>
    </row>
    <row r="79" spans="1:12" x14ac:dyDescent="0.35">
      <c r="A79" s="12">
        <v>77</v>
      </c>
      <c r="B79" s="17" t="s">
        <v>117</v>
      </c>
      <c r="C79" s="41"/>
      <c r="D79" s="43"/>
      <c r="E79" s="17"/>
      <c r="F79" s="17"/>
      <c r="G79" s="20"/>
      <c r="H79" s="20"/>
      <c r="I79" s="17"/>
      <c r="J79" s="26"/>
      <c r="K79" s="18"/>
      <c r="L79" s="16"/>
    </row>
    <row r="80" spans="1:12" x14ac:dyDescent="0.35">
      <c r="A80" s="12">
        <v>78</v>
      </c>
      <c r="B80" s="12" t="s">
        <v>118</v>
      </c>
      <c r="C80" s="46"/>
      <c r="D80" s="42"/>
      <c r="E80" s="12"/>
      <c r="F80" s="12"/>
      <c r="G80" s="15"/>
      <c r="H80" s="15"/>
      <c r="I80" s="12"/>
      <c r="J80" s="24"/>
      <c r="K80" s="13"/>
      <c r="L80" s="11"/>
    </row>
    <row r="81" spans="1:12" x14ac:dyDescent="0.35">
      <c r="A81" s="12">
        <v>79</v>
      </c>
      <c r="B81" s="17" t="s">
        <v>119</v>
      </c>
      <c r="C81" s="41"/>
      <c r="D81" s="43"/>
      <c r="E81" s="17"/>
      <c r="F81" s="17"/>
      <c r="G81" s="20"/>
      <c r="H81" s="20"/>
      <c r="I81" s="17"/>
      <c r="J81" s="26"/>
      <c r="K81" s="18"/>
      <c r="L81" s="16"/>
    </row>
    <row r="82" spans="1:12" x14ac:dyDescent="0.35">
      <c r="A82" s="12">
        <v>80</v>
      </c>
      <c r="B82" s="12" t="s">
        <v>120</v>
      </c>
      <c r="C82" s="46"/>
      <c r="D82" s="42"/>
      <c r="E82" s="12"/>
      <c r="F82" s="12"/>
      <c r="G82" s="15"/>
      <c r="H82" s="15"/>
      <c r="I82" s="15"/>
      <c r="J82" s="19"/>
      <c r="K82" s="13"/>
      <c r="L82" s="11"/>
    </row>
    <row r="83" spans="1:12" x14ac:dyDescent="0.35">
      <c r="A83" s="12">
        <v>81</v>
      </c>
      <c r="B83" s="22" t="s">
        <v>121</v>
      </c>
      <c r="C83" s="47"/>
      <c r="D83" s="44"/>
      <c r="E83" s="22"/>
      <c r="F83" s="22"/>
      <c r="G83" s="25"/>
      <c r="H83" s="25"/>
      <c r="I83" s="17"/>
      <c r="J83" s="14"/>
      <c r="K83" s="23"/>
      <c r="L83" s="21"/>
    </row>
    <row r="84" spans="1:12" x14ac:dyDescent="0.35">
      <c r="A84" s="12">
        <v>82</v>
      </c>
      <c r="B84" s="12" t="s">
        <v>122</v>
      </c>
      <c r="C84" s="46"/>
      <c r="D84" s="42"/>
      <c r="E84" s="12"/>
      <c r="F84" s="12"/>
      <c r="G84" s="15"/>
      <c r="H84" s="15"/>
      <c r="I84" s="17"/>
      <c r="J84" s="24"/>
      <c r="K84" s="13"/>
      <c r="L84" s="11"/>
    </row>
    <row r="85" spans="1:12" x14ac:dyDescent="0.35">
      <c r="A85" s="12">
        <v>83</v>
      </c>
      <c r="B85" s="17" t="s">
        <v>123</v>
      </c>
      <c r="C85" s="41"/>
      <c r="D85" s="43"/>
      <c r="E85" s="17"/>
      <c r="F85" s="17"/>
      <c r="G85" s="20"/>
      <c r="H85" s="20"/>
      <c r="I85" s="17"/>
      <c r="J85" s="26"/>
      <c r="K85" s="18"/>
      <c r="L85" s="16"/>
    </row>
    <row r="86" spans="1:12" x14ac:dyDescent="0.35">
      <c r="A86" s="12">
        <v>84</v>
      </c>
      <c r="B86" s="12" t="s">
        <v>124</v>
      </c>
      <c r="C86" s="46"/>
      <c r="D86" s="42"/>
      <c r="E86" s="12"/>
      <c r="F86" s="12"/>
      <c r="G86" s="15"/>
      <c r="H86" s="15"/>
      <c r="I86" s="12"/>
      <c r="J86" s="19"/>
      <c r="K86" s="13"/>
      <c r="L86" s="11"/>
    </row>
    <row r="87" spans="1:12" x14ac:dyDescent="0.35">
      <c r="A87" s="12">
        <v>85</v>
      </c>
      <c r="B87" s="17" t="s">
        <v>125</v>
      </c>
      <c r="C87" s="41"/>
      <c r="D87" s="43"/>
      <c r="E87" s="17"/>
      <c r="F87" s="17"/>
      <c r="G87" s="20"/>
      <c r="H87" s="20"/>
      <c r="I87" s="17"/>
      <c r="J87" s="24"/>
      <c r="K87" s="18"/>
      <c r="L87" s="16"/>
    </row>
    <row r="88" spans="1:12" x14ac:dyDescent="0.35">
      <c r="A88" s="12">
        <v>86</v>
      </c>
      <c r="B88" s="17" t="s">
        <v>126</v>
      </c>
      <c r="C88" s="41"/>
      <c r="D88" s="43"/>
      <c r="E88" s="17"/>
      <c r="F88" s="17"/>
      <c r="G88" s="20"/>
      <c r="H88" s="20"/>
      <c r="I88" s="17"/>
      <c r="J88" s="19"/>
      <c r="K88" s="18"/>
      <c r="L88" s="16"/>
    </row>
    <row r="89" spans="1:12" x14ac:dyDescent="0.35">
      <c r="A89" s="12">
        <v>87</v>
      </c>
      <c r="B89" s="12" t="s">
        <v>127</v>
      </c>
      <c r="C89" s="46"/>
      <c r="D89" s="42"/>
      <c r="E89" s="12"/>
      <c r="F89" s="12"/>
      <c r="G89" s="15"/>
      <c r="H89" s="15"/>
      <c r="I89" s="12"/>
      <c r="J89" s="14"/>
      <c r="K89" s="13"/>
      <c r="L89" s="11"/>
    </row>
    <row r="90" spans="1:12" x14ac:dyDescent="0.35">
      <c r="A90" s="12">
        <v>88</v>
      </c>
      <c r="B90" s="22" t="s">
        <v>128</v>
      </c>
      <c r="C90" s="47"/>
      <c r="D90" s="44"/>
      <c r="E90" s="22"/>
      <c r="F90" s="22"/>
      <c r="G90" s="25"/>
      <c r="H90" s="25"/>
      <c r="I90" s="22"/>
      <c r="J90" s="24"/>
      <c r="K90" s="23"/>
      <c r="L90" s="21"/>
    </row>
    <row r="91" spans="1:12" x14ac:dyDescent="0.35">
      <c r="A91" s="12">
        <v>89</v>
      </c>
      <c r="B91" s="17" t="s">
        <v>129</v>
      </c>
      <c r="C91" s="41"/>
      <c r="D91" s="43"/>
      <c r="E91" s="17"/>
      <c r="F91" s="17"/>
      <c r="G91" s="20"/>
      <c r="H91" s="20"/>
      <c r="I91" s="17"/>
      <c r="J91" s="19"/>
      <c r="K91" s="18"/>
      <c r="L91" s="16"/>
    </row>
    <row r="92" spans="1:12" x14ac:dyDescent="0.35">
      <c r="A92" s="12">
        <v>90</v>
      </c>
      <c r="B92" s="12" t="s">
        <v>130</v>
      </c>
      <c r="C92" s="46"/>
      <c r="D92" s="42"/>
      <c r="E92" s="12"/>
      <c r="F92" s="12"/>
      <c r="G92" s="15"/>
      <c r="H92" s="15"/>
      <c r="I92" s="12"/>
      <c r="J92" s="14"/>
      <c r="K92" s="13"/>
      <c r="L92" s="11"/>
    </row>
    <row r="93" spans="1:12" x14ac:dyDescent="0.35">
      <c r="A93" s="12">
        <v>91</v>
      </c>
      <c r="B93" s="17" t="s">
        <v>131</v>
      </c>
      <c r="C93" s="41"/>
      <c r="D93" s="43"/>
      <c r="E93" s="17"/>
      <c r="F93" s="17"/>
      <c r="G93" s="20"/>
      <c r="H93" s="20"/>
      <c r="I93" s="17"/>
      <c r="J93" s="19"/>
      <c r="K93" s="18"/>
      <c r="L93" s="16"/>
    </row>
    <row r="94" spans="1:12" x14ac:dyDescent="0.35">
      <c r="A94" s="12">
        <v>92</v>
      </c>
      <c r="B94" s="17" t="s">
        <v>132</v>
      </c>
      <c r="C94" s="41"/>
      <c r="D94" s="43"/>
      <c r="E94" s="17"/>
      <c r="F94" s="17"/>
      <c r="G94" s="20"/>
      <c r="H94" s="20"/>
      <c r="I94" s="17"/>
      <c r="J94" s="26"/>
      <c r="K94" s="18"/>
      <c r="L94" s="16"/>
    </row>
    <row r="95" spans="1:12" x14ac:dyDescent="0.35">
      <c r="A95" s="12">
        <v>93</v>
      </c>
      <c r="B95" s="12" t="s">
        <v>133</v>
      </c>
      <c r="C95" s="46"/>
      <c r="D95" s="42"/>
      <c r="E95" s="12"/>
      <c r="F95" s="12"/>
      <c r="G95" s="15"/>
      <c r="H95" s="15"/>
      <c r="I95" s="12"/>
      <c r="J95" s="24"/>
      <c r="K95" s="13"/>
      <c r="L95" s="11"/>
    </row>
    <row r="96" spans="1:12" x14ac:dyDescent="0.35">
      <c r="A96" s="12">
        <v>94</v>
      </c>
      <c r="B96" s="17" t="s">
        <v>134</v>
      </c>
      <c r="C96" s="41"/>
      <c r="D96" s="43"/>
      <c r="E96" s="17"/>
      <c r="F96" s="17"/>
      <c r="G96" s="20"/>
      <c r="H96" s="20"/>
      <c r="I96" s="17"/>
      <c r="J96" s="26"/>
      <c r="K96" s="18"/>
      <c r="L96" s="16"/>
    </row>
    <row r="97" spans="1:12" x14ac:dyDescent="0.35">
      <c r="A97" s="12">
        <v>95</v>
      </c>
      <c r="B97" s="12" t="s">
        <v>135</v>
      </c>
      <c r="C97" s="46"/>
      <c r="D97" s="42"/>
      <c r="E97" s="12"/>
      <c r="F97" s="12"/>
      <c r="G97" s="15"/>
      <c r="H97" s="15"/>
      <c r="I97" s="15"/>
      <c r="J97" s="19"/>
      <c r="K97" s="13"/>
      <c r="L97" s="11"/>
    </row>
    <row r="98" spans="1:12" x14ac:dyDescent="0.35">
      <c r="A98" s="12">
        <v>96</v>
      </c>
      <c r="B98" s="22" t="s">
        <v>136</v>
      </c>
      <c r="C98" s="47"/>
      <c r="D98" s="44"/>
      <c r="E98" s="22"/>
      <c r="F98" s="22"/>
      <c r="G98" s="25"/>
      <c r="H98" s="25"/>
      <c r="I98" s="17"/>
      <c r="J98" s="14"/>
      <c r="K98" s="23"/>
      <c r="L98" s="21"/>
    </row>
    <row r="99" spans="1:12" x14ac:dyDescent="0.35">
      <c r="A99" s="12">
        <v>97</v>
      </c>
      <c r="B99" s="12" t="s">
        <v>137</v>
      </c>
      <c r="C99" s="46"/>
      <c r="D99" s="42"/>
      <c r="E99" s="12"/>
      <c r="F99" s="12"/>
      <c r="G99" s="15"/>
      <c r="H99" s="15"/>
      <c r="I99" s="17"/>
      <c r="J99" s="24"/>
      <c r="K99" s="13"/>
      <c r="L99" s="11"/>
    </row>
    <row r="100" spans="1:12" x14ac:dyDescent="0.35">
      <c r="A100" s="12">
        <v>98</v>
      </c>
      <c r="B100" s="17" t="s">
        <v>138</v>
      </c>
      <c r="C100" s="41"/>
      <c r="D100" s="43"/>
      <c r="E100" s="17"/>
      <c r="F100" s="17"/>
      <c r="G100" s="20"/>
      <c r="H100" s="20"/>
      <c r="I100" s="17"/>
      <c r="J100" s="26"/>
      <c r="K100" s="18"/>
      <c r="L100" s="16"/>
    </row>
    <row r="101" spans="1:12" x14ac:dyDescent="0.35">
      <c r="A101" s="12">
        <v>99</v>
      </c>
      <c r="B101" s="12" t="s">
        <v>139</v>
      </c>
      <c r="C101" s="46"/>
      <c r="D101" s="42"/>
      <c r="E101" s="12"/>
      <c r="F101" s="12"/>
      <c r="G101" s="15"/>
      <c r="H101" s="15"/>
      <c r="I101" s="12"/>
      <c r="J101" s="19"/>
      <c r="K101" s="13"/>
      <c r="L101" s="11"/>
    </row>
    <row r="102" spans="1:12" x14ac:dyDescent="0.35">
      <c r="A102" s="12">
        <v>100</v>
      </c>
      <c r="B102" s="17" t="s">
        <v>140</v>
      </c>
      <c r="C102" s="41"/>
      <c r="D102" s="43"/>
      <c r="E102" s="17"/>
      <c r="F102" s="17"/>
      <c r="G102" s="20"/>
      <c r="H102" s="20"/>
      <c r="I102" s="17"/>
      <c r="J102" s="24"/>
      <c r="K102" s="18"/>
      <c r="L102" s="16"/>
    </row>
    <row r="103" spans="1:12" x14ac:dyDescent="0.35">
      <c r="C103"/>
    </row>
    <row r="104" spans="1:12" x14ac:dyDescent="0.35">
      <c r="C104"/>
    </row>
    <row r="105" spans="1:12" x14ac:dyDescent="0.35">
      <c r="C105"/>
    </row>
    <row r="106" spans="1:12" x14ac:dyDescent="0.35">
      <c r="C106"/>
    </row>
  </sheetData>
  <autoFilter ref="A2:L102" xr:uid="{00000000-0009-0000-0000-000001000000}"/>
  <dataConsolidate/>
  <mergeCells count="1">
    <mergeCell ref="A1:L1"/>
  </mergeCells>
  <phoneticPr fontId="21" type="noConversion"/>
  <conditionalFormatting sqref="G3:H998">
    <cfRule type="expression" dxfId="5" priority="6">
      <formula>AND(G3&lt;TODAY(),I3&lt;&gt;"Completed",G3&lt;&gt;"")</formula>
    </cfRule>
  </conditionalFormatting>
  <conditionalFormatting sqref="I5">
    <cfRule type="expression" dxfId="4" priority="5">
      <formula>AND(I5&lt;TODAY(),J5&lt;&gt;"Completed",I5&lt;&gt;"")</formula>
    </cfRule>
  </conditionalFormatting>
  <conditionalFormatting sqref="I7">
    <cfRule type="expression" dxfId="3" priority="4">
      <formula>AND(I7&lt;TODAY(),J7&lt;&gt;"Completed",I7&lt;&gt;"")</formula>
    </cfRule>
  </conditionalFormatting>
  <conditionalFormatting sqref="I35 I65">
    <cfRule type="expression" dxfId="2" priority="3">
      <formula>AND(I35&lt;TODAY(),J35&lt;&gt;"Completed",I35&lt;&gt;"")</formula>
    </cfRule>
  </conditionalFormatting>
  <conditionalFormatting sqref="I37 I67">
    <cfRule type="expression" dxfId="1" priority="2">
      <formula>AND(I37&lt;TODAY(),J37&lt;&gt;"Completed",I37&lt;&gt;"")</formula>
    </cfRule>
  </conditionalFormatting>
  <conditionalFormatting sqref="I82 I97">
    <cfRule type="expression" dxfId="0" priority="1">
      <formula>AND(I82&lt;TODAY(),J82&lt;&gt;"Completed",I82&lt;&gt;"")</formula>
    </cfRule>
  </conditionalFormatting>
  <conditionalFormatting sqref="K3:K998">
    <cfRule type="dataBar" priority="7">
      <dataBar>
        <cfvo type="num" val="0"/>
        <cfvo type="num" val="100"/>
        <color rgb="FF00897B"/>
      </dataBar>
      <extLst>
        <ext xmlns:x14="http://schemas.microsoft.com/office/spreadsheetml/2009/9/main" uri="{B025F937-C7B1-47D3-B67F-A62EFF666E3E}">
          <x14:id>{F98A8CF4-3DD6-4143-92D0-BE0B73FDC3AC}</x14:id>
        </ext>
      </extLst>
    </cfRule>
  </conditionalFormatting>
  <dataValidations count="6">
    <dataValidation type="list" allowBlank="1" sqref="E103:E998" xr:uid="{00000000-0002-0000-0100-000003000000}">
      <formula1>"Development,Finance,HR,IT,Marketing,Operations,Product,Sales,Other"</formula1>
      <formula2>0</formula2>
    </dataValidation>
    <dataValidation type="whole" sqref="K3:K998" xr:uid="{00000000-0002-0000-0100-000002000000}">
      <formula1>0</formula1>
      <formula2>100</formula2>
    </dataValidation>
    <dataValidation type="list" allowBlank="1" sqref="J3:J998" xr:uid="{00000000-0002-0000-0100-000001000000}">
      <formula1>"Critical,High,Medium,Low"</formula1>
      <formula2>0</formula2>
    </dataValidation>
    <dataValidation type="list" allowBlank="1" sqref="I3:I998" xr:uid="{00000000-0002-0000-0100-000000000000}">
      <formula1>"Not Started,In Progress,Completed,On Hold,Cancelled"</formula1>
      <formula2>0</formula2>
    </dataValidation>
    <dataValidation type="list" allowBlank="1" sqref="E4:E102" xr:uid="{DC86CFBD-4340-4316-BB19-FCE6C4CE2281}">
      <formula1>"Testing,Development,Finance,HR,IT,Marketing,Operations,Product,Sales,Other"</formula1>
    </dataValidation>
    <dataValidation type="list" allowBlank="1" sqref="E3" xr:uid="{9988F54D-0C21-4D2E-AD06-ADEEDD131B96}">
      <formula1>"Testing,Development,Research,Documentation,Finance,HR,IT,Marketing,Operations,Product,Sales,Other"</formula1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8A8CF4-3DD6-4143-92D0-BE0B73FDC3AC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00897B"/>
            </x14:dataBar>
          </x14:cfRule>
          <xm:sqref>K3:K998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📈 Analytics</vt:lpstr>
      <vt:lpstr>📋 Task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Ahmad</dc:creator>
  <cp:lastModifiedBy>21014198-065</cp:lastModifiedBy>
  <dcterms:created xsi:type="dcterms:W3CDTF">2026-03-13T09:33:52Z</dcterms:created>
  <dcterms:modified xsi:type="dcterms:W3CDTF">2026-07-04T17:51:16Z</dcterms:modified>
</cp:coreProperties>
</file>