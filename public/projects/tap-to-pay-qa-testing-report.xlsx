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a674\OneDrive\Desktop\projects\"/>
    </mc:Choice>
  </mc:AlternateContent>
  <xr:revisionPtr revIDLastSave="0" documentId="8_{40C0A769-FDBE-4350-BD38-22F49C9A6442}" xr6:coauthVersionLast="47" xr6:coauthVersionMax="47" xr10:uidLastSave="{00000000-0000-0000-0000-000000000000}"/>
  <bookViews>
    <workbookView xWindow="-110" yWindow="-110" windowWidth="19420" windowHeight="10300" xr2:uid="{BF110541-21DB-4F07-9F21-23FC35702EBA}"/>
  </bookViews>
  <sheets>
    <sheet name="📊 Executive Dashboard" sheetId="2" r:id="rId1"/>
    <sheet name="📋 Raw Data" sheetId="3" r:id="rId2"/>
    <sheet name="📈 Charts &amp; Analytic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E16" i="2"/>
  <c r="D16" i="2"/>
  <c r="C16" i="2"/>
  <c r="G15" i="2"/>
  <c r="F15" i="2"/>
  <c r="G14" i="2"/>
  <c r="F14" i="2"/>
  <c r="F16" i="2" s="1"/>
  <c r="G13" i="2"/>
  <c r="F13" i="2"/>
  <c r="G12" i="2"/>
  <c r="F12" i="2"/>
</calcChain>
</file>

<file path=xl/sharedStrings.xml><?xml version="1.0" encoding="utf-8"?>
<sst xmlns="http://schemas.openxmlformats.org/spreadsheetml/2006/main" count="106" uniqueCount="56">
  <si>
    <t>Multi-Environment Issue Tracking  |  Pre  ·  Staging  ·  Production</t>
  </si>
  <si>
    <t>Report Date: MAY 2026  |  Departments: Product · Finance · Compliance · Operations</t>
  </si>
  <si>
    <t>▌  TESTING ENVIRONMENT ISSUE SUMMARY</t>
  </si>
  <si>
    <t>PRE</t>
  </si>
  <si>
    <t>STAGING</t>
  </si>
  <si>
    <t>PRODUCTION</t>
  </si>
  <si>
    <t>Highest Issue Volume</t>
  </si>
  <si>
    <t>Significant Reduction</t>
  </si>
  <si>
    <t>Near-Stable State</t>
  </si>
  <si>
    <t>▌  DETAILED ISSUE BREAKDOWN BY DEPARTMENT &amp; ENVIRONMENT</t>
  </si>
  <si>
    <t>DEPARTMENT</t>
  </si>
  <si>
    <t>PRE ISSUES</t>
  </si>
  <si>
    <t>STAGING ISSUES</t>
  </si>
  <si>
    <t>PROD ISSUES</t>
  </si>
  <si>
    <t>TOTAL ISSUES</t>
  </si>
  <si>
    <t>RESOLUTION RATE</t>
  </si>
  <si>
    <t>STATUS</t>
  </si>
  <si>
    <t>Product</t>
  </si>
  <si>
    <t>🟢 Stable</t>
  </si>
  <si>
    <t>Finance</t>
  </si>
  <si>
    <t>Compliance</t>
  </si>
  <si>
    <t xml:space="preserve"> </t>
  </si>
  <si>
    <t>Operations</t>
  </si>
  <si>
    <t>TOTAL</t>
  </si>
  <si>
    <t>▌  ENVIRONMENT-TO-ENVIRONMENT ISSUE REDUCTION</t>
  </si>
  <si>
    <t>METRIC</t>
  </si>
  <si>
    <t>VALUE</t>
  </si>
  <si>
    <t>INSIGHT</t>
  </si>
  <si>
    <t>Pre → Staging Drop</t>
  </si>
  <si>
    <t>Issues dropped from 63 to 20 (-45 issues)</t>
  </si>
  <si>
    <t>Staging → Prod Drop</t>
  </si>
  <si>
    <t>Issues dropped from 20 to 2 (-18 issues)</t>
  </si>
  <si>
    <t>Overall Improvement</t>
  </si>
  <si>
    <t>Pre to Production: 65 issues → 2 issues</t>
  </si>
  <si>
    <t>Prod Stability Score</t>
  </si>
  <si>
    <t>Only 2 issues reached production</t>
  </si>
  <si>
    <t xml:space="preserve">  TAP TO PAY </t>
  </si>
  <si>
    <t>TAP TO PAY — RAW ISSUE DATA REPOSITORY</t>
  </si>
  <si>
    <t>Source data powering all dashboards and charts</t>
  </si>
  <si>
    <t>ENVIRONMENT</t>
  </si>
  <si>
    <t>ISSUES FOUND</t>
  </si>
  <si>
    <t>SEVERITY LEVEL</t>
  </si>
  <si>
    <t>RESOLUTION</t>
  </si>
  <si>
    <t>Pre-Environment</t>
  </si>
  <si>
    <t>Critical</t>
  </si>
  <si>
    <t>Resolved</t>
  </si>
  <si>
    <t>High</t>
  </si>
  <si>
    <t>Medium</t>
  </si>
  <si>
    <t>Low</t>
  </si>
  <si>
    <t>Staging</t>
  </si>
  <si>
    <t>Production</t>
  </si>
  <si>
    <t>Cleared</t>
  </si>
  <si>
    <t>N/A</t>
  </si>
  <si>
    <t>TAP TO PAY — CHARTS &amp; ANALYTICS</t>
  </si>
  <si>
    <t>ISSUES BY ENVIRONMENT &amp; DEPARTMENT</t>
  </si>
  <si>
    <t>XYZ  · TESTING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</si>
</sst>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1"/>
      <color rgb="FFA8D8F0"/>
      <name val="Arial"/>
      <charset val="1"/>
    </font>
    <font>
      <sz val="9"/>
      <color rgb="FFBDC3C7"/>
      <name val="Arial"/>
      <charset val="1"/>
    </font>
    <font>
      <b/>
      <sz val="13"/>
      <color rgb="FF1B3A5C"/>
      <name val="Arial"/>
      <charset val="1"/>
    </font>
    <font>
      <b/>
      <sz val="10"/>
      <color rgb="FFFFFFFF"/>
      <name val="Arial"/>
      <charset val="1"/>
    </font>
    <font>
      <b/>
      <sz val="28"/>
      <color rgb="FFFFFFFF"/>
      <name val="Arial"/>
      <charset val="1"/>
    </font>
    <font>
      <i/>
      <sz val="9"/>
      <color rgb="FFFFFFFF"/>
      <name val="Arial"/>
      <charset val="1"/>
    </font>
    <font>
      <sz val="10"/>
      <color rgb="FF0D1B2A"/>
      <name val="Arial"/>
      <charset val="1"/>
    </font>
    <font>
      <b/>
      <sz val="10"/>
      <color rgb="FF0D1B2A"/>
      <name val="Arial"/>
      <charset val="1"/>
    </font>
    <font>
      <b/>
      <sz val="10"/>
      <color rgb="FF27AE60"/>
      <name val="Arial"/>
      <charset val="1"/>
    </font>
    <font>
      <b/>
      <sz val="11"/>
      <color rgb="FFFFFFFF"/>
      <name val="Arial"/>
      <charset val="1"/>
    </font>
    <font>
      <b/>
      <sz val="13"/>
      <color rgb="FF27AE60"/>
      <name val="Arial"/>
      <charset val="1"/>
    </font>
    <font>
      <i/>
      <sz val="9"/>
      <color rgb="FF555F6E"/>
      <name val="Arial"/>
      <charset val="1"/>
    </font>
    <font>
      <i/>
      <sz val="9"/>
      <color rgb="FF555F6E"/>
      <name val="Arial"/>
      <family val="2"/>
    </font>
    <font>
      <i/>
      <sz val="8"/>
      <color rgb="FFBDC3C7"/>
      <name val="Arial"/>
      <charset val="1"/>
    </font>
    <font>
      <b/>
      <sz val="16"/>
      <color rgb="FFFFFFFF"/>
      <name val="Arial"/>
      <charset val="1"/>
    </font>
    <font>
      <i/>
      <sz val="9"/>
      <color rgb="FFA8D8F0"/>
      <name val="Arial"/>
      <charset val="1"/>
    </font>
    <font>
      <b/>
      <sz val="10"/>
      <color rgb="FFE74C3C"/>
      <name val="Arial"/>
      <charset val="1"/>
    </font>
    <font>
      <b/>
      <sz val="10"/>
      <color rgb="FFE67E22"/>
      <name val="Arial"/>
      <charset val="1"/>
    </font>
    <font>
      <b/>
      <sz val="10"/>
      <color rgb="FFF1C40F"/>
      <name val="Arial"/>
      <charset val="1"/>
    </font>
    <font>
      <b/>
      <sz val="10"/>
      <color rgb="FFBDC3C7"/>
      <name val="Arial"/>
      <charset val="1"/>
    </font>
    <font>
      <b/>
      <sz val="12"/>
      <color rgb="FFFFFFFF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E74C3C"/>
        <bgColor rgb="FFE67E22"/>
      </patternFill>
    </fill>
    <fill>
      <patternFill patternType="solid">
        <fgColor rgb="FFE67E22"/>
        <bgColor rgb="FFFF9900"/>
      </patternFill>
    </fill>
    <fill>
      <patternFill patternType="solid">
        <fgColor rgb="FF27AE60"/>
        <bgColor rgb="FF0FA3B1"/>
      </patternFill>
    </fill>
    <fill>
      <patternFill patternType="solid">
        <fgColor rgb="FF1B3A5C"/>
        <bgColor rgb="FF333333"/>
      </patternFill>
    </fill>
    <fill>
      <patternFill patternType="solid">
        <fgColor rgb="FFF4F7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E5FA8"/>
        <bgColor rgb="FF008080"/>
      </patternFill>
    </fill>
    <fill>
      <patternFill patternType="solid">
        <fgColor rgb="FF0FA3B1"/>
        <bgColor rgb="FF27AE60"/>
      </patternFill>
    </fill>
    <fill>
      <patternFill patternType="solid">
        <fgColor rgb="FFFDECEA"/>
        <bgColor rgb="FFFEF9E7"/>
      </patternFill>
    </fill>
    <fill>
      <patternFill patternType="solid">
        <fgColor rgb="FFFEF9E7"/>
        <bgColor rgb="FFF9F9F9"/>
      </patternFill>
    </fill>
    <fill>
      <patternFill patternType="solid">
        <fgColor rgb="FFEAFAF1"/>
        <bgColor rgb="FFF4F7FB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1" fillId="0" borderId="0" xfId="1"/>
    <xf numFmtId="0" fontId="6" fillId="6" borderId="1" xfId="1" applyFont="1" applyFill="1" applyBorder="1" applyAlignment="1">
      <alignment horizontal="center" vertical="center"/>
    </xf>
    <xf numFmtId="0" fontId="9" fillId="7" borderId="2" xfId="1" applyFont="1" applyFill="1" applyBorder="1" applyAlignment="1">
      <alignment horizontal="center" vertical="center"/>
    </xf>
    <xf numFmtId="0" fontId="10" fillId="7" borderId="2" xfId="1" applyFont="1" applyFill="1" applyBorder="1" applyAlignment="1">
      <alignment horizontal="center" vertical="center"/>
    </xf>
    <xf numFmtId="0" fontId="11" fillId="8" borderId="2" xfId="1" applyFont="1" applyFill="1" applyBorder="1" applyAlignment="1">
      <alignment horizontal="center" vertical="center"/>
    </xf>
    <xf numFmtId="0" fontId="9" fillId="8" borderId="2" xfId="1" applyFont="1" applyFill="1" applyBorder="1" applyAlignment="1">
      <alignment horizontal="center" vertical="center"/>
    </xf>
    <xf numFmtId="0" fontId="10" fillId="8" borderId="2" xfId="1" applyFont="1" applyFill="1" applyBorder="1" applyAlignment="1">
      <alignment horizontal="center" vertical="center"/>
    </xf>
    <xf numFmtId="0" fontId="11" fillId="7" borderId="2" xfId="1" applyFont="1" applyFill="1" applyBorder="1" applyAlignment="1">
      <alignment horizontal="center" vertical="center"/>
    </xf>
    <xf numFmtId="0" fontId="12" fillId="9" borderId="3" xfId="1" applyFont="1" applyFill="1" applyBorder="1" applyAlignment="1">
      <alignment horizontal="center" vertical="center"/>
    </xf>
    <xf numFmtId="0" fontId="1" fillId="6" borderId="0" xfId="1" applyFill="1"/>
    <xf numFmtId="0" fontId="6" fillId="9" borderId="1" xfId="1" applyFont="1" applyFill="1" applyBorder="1" applyAlignment="1">
      <alignment horizontal="center" vertical="center"/>
    </xf>
    <xf numFmtId="0" fontId="9" fillId="11" borderId="2" xfId="1" applyFont="1" applyFill="1" applyBorder="1" applyAlignment="1">
      <alignment horizontal="center" vertical="center"/>
    </xf>
    <xf numFmtId="0" fontId="19" fillId="11" borderId="2" xfId="1" applyFont="1" applyFill="1" applyBorder="1" applyAlignment="1">
      <alignment horizontal="center" vertical="center"/>
    </xf>
    <xf numFmtId="0" fontId="20" fillId="11" borderId="2" xfId="1" applyFont="1" applyFill="1" applyBorder="1" applyAlignment="1">
      <alignment horizontal="center" vertical="center"/>
    </xf>
    <xf numFmtId="0" fontId="21" fillId="11" borderId="2" xfId="1" applyFont="1" applyFill="1" applyBorder="1" applyAlignment="1">
      <alignment horizontal="center" vertical="center"/>
    </xf>
    <xf numFmtId="0" fontId="22" fillId="11" borderId="2" xfId="1" applyFont="1" applyFill="1" applyBorder="1" applyAlignment="1">
      <alignment horizontal="center" vertical="center"/>
    </xf>
    <xf numFmtId="0" fontId="9" fillId="12" borderId="2" xfId="1" applyFont="1" applyFill="1" applyBorder="1" applyAlignment="1">
      <alignment horizontal="center" vertical="center"/>
    </xf>
    <xf numFmtId="0" fontId="21" fillId="12" borderId="2" xfId="1" applyFont="1" applyFill="1" applyBorder="1" applyAlignment="1">
      <alignment horizontal="center" vertical="center"/>
    </xf>
    <xf numFmtId="0" fontId="11" fillId="12" borderId="2" xfId="1" applyFont="1" applyFill="1" applyBorder="1" applyAlignment="1">
      <alignment horizontal="center" vertical="center"/>
    </xf>
    <xf numFmtId="0" fontId="9" fillId="13" borderId="2" xfId="1" applyFont="1" applyFill="1" applyBorder="1" applyAlignment="1">
      <alignment horizontal="center" vertical="center"/>
    </xf>
    <xf numFmtId="0" fontId="11" fillId="13" borderId="2" xfId="1" applyFont="1" applyFill="1" applyBorder="1" applyAlignment="1">
      <alignment horizontal="center" vertical="center"/>
    </xf>
    <xf numFmtId="0" fontId="22" fillId="13" borderId="2" xfId="1" applyFont="1" applyFill="1" applyBorder="1" applyAlignment="1">
      <alignment horizontal="center" vertical="center"/>
    </xf>
    <xf numFmtId="0" fontId="1" fillId="2" borderId="0" xfId="1" applyFill="1"/>
    <xf numFmtId="0" fontId="23" fillId="0" borderId="0" xfId="1" applyFont="1" applyAlignment="1">
      <alignment vertical="center"/>
    </xf>
    <xf numFmtId="0" fontId="10" fillId="8" borderId="5" xfId="1" applyFont="1" applyFill="1" applyBorder="1" applyAlignment="1">
      <alignment horizontal="left" vertical="center"/>
    </xf>
    <xf numFmtId="10" fontId="13" fillId="8" borderId="5" xfId="1" applyNumberFormat="1" applyFont="1" applyFill="1" applyBorder="1" applyAlignment="1">
      <alignment horizontal="center" vertical="center"/>
    </xf>
    <xf numFmtId="0" fontId="13" fillId="8" borderId="5" xfId="1" applyFont="1" applyFill="1" applyBorder="1" applyAlignment="1">
      <alignment horizontal="center" vertical="center"/>
    </xf>
    <xf numFmtId="0" fontId="15" fillId="8" borderId="5" xfId="1" applyFont="1" applyFill="1" applyBorder="1" applyAlignment="1">
      <alignment horizontal="left" vertical="center"/>
    </xf>
    <xf numFmtId="0" fontId="14" fillId="8" borderId="5" xfId="1" applyFont="1" applyFill="1" applyBorder="1" applyAlignment="1">
      <alignment horizontal="left" vertical="center"/>
    </xf>
    <xf numFmtId="0" fontId="16" fillId="2" borderId="0" xfId="1" applyFont="1" applyFill="1" applyAlignment="1">
      <alignment horizontal="center" vertical="center"/>
    </xf>
    <xf numFmtId="0" fontId="10" fillId="7" borderId="5" xfId="1" applyFont="1" applyFill="1" applyBorder="1" applyAlignment="1">
      <alignment horizontal="left" vertical="center"/>
    </xf>
    <xf numFmtId="10" fontId="13" fillId="7" borderId="5" xfId="1" applyNumberFormat="1" applyFont="1" applyFill="1" applyBorder="1" applyAlignment="1">
      <alignment horizontal="center" vertical="center"/>
    </xf>
    <xf numFmtId="0" fontId="13" fillId="7" borderId="5" xfId="1" applyFont="1" applyFill="1" applyBorder="1" applyAlignment="1">
      <alignment horizontal="center" vertical="center"/>
    </xf>
    <xf numFmtId="0" fontId="14" fillId="7" borderId="5" xfId="1" applyFont="1" applyFill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10" borderId="4" xfId="1" applyFont="1" applyFill="1" applyBorder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7" fillId="5" borderId="0" xfId="1" applyFont="1" applyFill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6" fillId="3" borderId="0" xfId="1" applyFont="1" applyFill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17" fillId="6" borderId="0" xfId="1" applyFont="1" applyFill="1" applyAlignment="1">
      <alignment horizontal="left" vertical="center"/>
    </xf>
    <xf numFmtId="0" fontId="18" fillId="6" borderId="0" xfId="1" applyFont="1" applyFill="1" applyAlignment="1">
      <alignment horizontal="left" vertical="center"/>
    </xf>
    <xf numFmtId="0" fontId="17" fillId="2" borderId="0" xfId="1" applyFont="1" applyFill="1" applyAlignment="1">
      <alignment horizontal="left" vertical="center"/>
    </xf>
    <xf numFmtId="0" fontId="23" fillId="6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98DFA4EC-5A44-411A-A563-C464F87FB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Issues by Department &amp; Environment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Charts &amp; Analytics'!$C$6</c:f>
              <c:strCache>
                <c:ptCount val="1"/>
                <c:pt idx="0">
                  <c:v>PRE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'📈 Charts &amp; Analytics'!$B$7:$B$10</c:f>
              <c:strCache>
                <c:ptCount val="4"/>
                <c:pt idx="0">
                  <c:v>Product</c:v>
                </c:pt>
                <c:pt idx="1">
                  <c:v>Finance</c:v>
                </c:pt>
                <c:pt idx="2">
                  <c:v>Compliance</c:v>
                </c:pt>
                <c:pt idx="3">
                  <c:v>Operations</c:v>
                </c:pt>
              </c:strCache>
            </c:strRef>
          </c:cat>
          <c:val>
            <c:numRef>
              <c:f>'📈 Charts &amp; Analytics'!$C$7:$C$10</c:f>
              <c:numCache>
                <c:formatCode>General</c:formatCode>
                <c:ptCount val="4"/>
                <c:pt idx="0">
                  <c:v>42</c:v>
                </c:pt>
                <c:pt idx="1">
                  <c:v>14</c:v>
                </c:pt>
                <c:pt idx="2">
                  <c:v>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7-4792-B9D0-8F2824777268}"/>
            </c:ext>
          </c:extLst>
        </c:ser>
        <c:ser>
          <c:idx val="1"/>
          <c:order val="1"/>
          <c:tx>
            <c:strRef>
              <c:f>'📈 Charts &amp; Analytics'!$D$6</c:f>
              <c:strCache>
                <c:ptCount val="1"/>
                <c:pt idx="0">
                  <c:v>STAGING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'📈 Charts &amp; Analytics'!$B$7:$B$10</c:f>
              <c:strCache>
                <c:ptCount val="4"/>
                <c:pt idx="0">
                  <c:v>Product</c:v>
                </c:pt>
                <c:pt idx="1">
                  <c:v>Finance</c:v>
                </c:pt>
                <c:pt idx="2">
                  <c:v>Compliance</c:v>
                </c:pt>
                <c:pt idx="3">
                  <c:v>Operations</c:v>
                </c:pt>
              </c:strCache>
            </c:strRef>
          </c:cat>
          <c:val>
            <c:numRef>
              <c:f>'📈 Charts &amp; Analytics'!$D$7:$D$10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97-4792-B9D0-8F2824777268}"/>
            </c:ext>
          </c:extLst>
        </c:ser>
        <c:ser>
          <c:idx val="2"/>
          <c:order val="2"/>
          <c:tx>
            <c:strRef>
              <c:f>'📈 Charts &amp; Analytics'!$E$6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'📈 Charts &amp; Analytics'!$B$7:$B$10</c:f>
              <c:strCache>
                <c:ptCount val="4"/>
                <c:pt idx="0">
                  <c:v>Product</c:v>
                </c:pt>
                <c:pt idx="1">
                  <c:v>Finance</c:v>
                </c:pt>
                <c:pt idx="2">
                  <c:v>Compliance</c:v>
                </c:pt>
                <c:pt idx="3">
                  <c:v>Operations</c:v>
                </c:pt>
              </c:strCache>
            </c:strRef>
          </c:cat>
          <c:val>
            <c:numRef>
              <c:f>'📈 Charts &amp; Analytics'!$E$7:$E$10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97-4792-B9D0-8F282477726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290076"/>
        <c:axId val="24719376"/>
      </c:barChart>
      <c:catAx>
        <c:axId val="182900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19376"/>
        <c:crosses val="autoZero"/>
        <c:auto val="1"/>
        <c:lblAlgn val="ctr"/>
        <c:lblOffset val="100"/>
        <c:noMultiLvlLbl val="0"/>
      </c:catAx>
      <c:valAx>
        <c:axId val="247193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Issues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82900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26737</xdr:colOff>
      <xdr:row>10</xdr:row>
      <xdr:rowOff>133684</xdr:rowOff>
    </xdr:from>
    <xdr:to>
      <xdr:col>9</xdr:col>
      <xdr:colOff>1238</xdr:colOff>
      <xdr:row>32</xdr:row>
      <xdr:rowOff>144124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A7A94B-D216-4551-B3FE-376BBEB0E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9806-A04A-4448-B4AE-49EC3FE1AF94}">
  <dimension ref="B1:J78"/>
  <sheetViews>
    <sheetView showGridLines="0" tabSelected="1" zoomScale="95" zoomScaleNormal="95" workbookViewId="0">
      <selection activeCell="B2" sqref="B2:H2"/>
    </sheetView>
  </sheetViews>
  <sheetFormatPr defaultColWidth="8.6328125" defaultRowHeight="14.5" x14ac:dyDescent="0.35"/>
  <cols>
    <col min="1" max="1" width="8.6328125" style="1"/>
    <col min="2" max="2" width="14.36328125" style="1" bestFit="1" customWidth="1"/>
    <col min="3" max="3" width="17.1796875" style="1" bestFit="1" customWidth="1"/>
    <col min="4" max="4" width="17.08984375" style="1" bestFit="1" customWidth="1"/>
    <col min="5" max="5" width="14.08984375" style="1" bestFit="1" customWidth="1"/>
    <col min="6" max="6" width="14.90625" style="1" bestFit="1" customWidth="1"/>
    <col min="7" max="7" width="19.36328125" style="1" bestFit="1" customWidth="1"/>
    <col min="8" max="8" width="14.453125" style="1" bestFit="1" customWidth="1"/>
    <col min="9" max="16384" width="8.6328125" style="1"/>
  </cols>
  <sheetData>
    <row r="1" spans="2:10" ht="51.75" customHeight="1" x14ac:dyDescent="0.35">
      <c r="B1" s="43" t="s">
        <v>55</v>
      </c>
      <c r="C1" s="43"/>
      <c r="D1" s="43"/>
      <c r="E1" s="43"/>
      <c r="F1" s="43"/>
      <c r="G1" s="43"/>
      <c r="H1" s="43"/>
    </row>
    <row r="2" spans="2:10" ht="27.65" customHeight="1" x14ac:dyDescent="0.35">
      <c r="B2" s="44" t="s">
        <v>0</v>
      </c>
      <c r="C2" s="44"/>
      <c r="D2" s="44"/>
      <c r="E2" s="44"/>
      <c r="F2" s="44"/>
      <c r="G2" s="44"/>
      <c r="H2" s="44"/>
    </row>
    <row r="3" spans="2:10" ht="21.75" customHeight="1" x14ac:dyDescent="0.35">
      <c r="B3" s="45" t="s">
        <v>1</v>
      </c>
      <c r="C3" s="45"/>
      <c r="D3" s="45"/>
      <c r="E3" s="45"/>
      <c r="F3" s="45"/>
      <c r="G3" s="45"/>
      <c r="H3" s="45"/>
    </row>
    <row r="4" spans="2:10" ht="18" customHeight="1" x14ac:dyDescent="0.35"/>
    <row r="5" spans="2:10" ht="18" customHeight="1" x14ac:dyDescent="0.35">
      <c r="B5" s="35" t="s">
        <v>2</v>
      </c>
      <c r="C5" s="35"/>
      <c r="D5" s="35"/>
      <c r="E5" s="35"/>
      <c r="F5" s="35"/>
      <c r="G5" s="35"/>
      <c r="H5" s="35"/>
    </row>
    <row r="6" spans="2:10" ht="18" customHeight="1" x14ac:dyDescent="0.35">
      <c r="B6" s="46" t="s">
        <v>3</v>
      </c>
      <c r="C6" s="46"/>
      <c r="D6" s="47" t="s">
        <v>4</v>
      </c>
      <c r="E6" s="47"/>
      <c r="F6" s="48" t="s">
        <v>5</v>
      </c>
      <c r="G6" s="48"/>
    </row>
    <row r="7" spans="2:10" ht="39.75" customHeight="1" x14ac:dyDescent="0.35">
      <c r="B7" s="37">
        <v>63</v>
      </c>
      <c r="C7" s="37"/>
      <c r="D7" s="38">
        <v>20</v>
      </c>
      <c r="E7" s="38"/>
      <c r="F7" s="39">
        <v>2</v>
      </c>
      <c r="G7" s="39"/>
    </row>
    <row r="8" spans="2:10" ht="18" customHeight="1" x14ac:dyDescent="0.35">
      <c r="B8" s="40" t="s">
        <v>6</v>
      </c>
      <c r="C8" s="40"/>
      <c r="D8" s="41" t="s">
        <v>7</v>
      </c>
      <c r="E8" s="41"/>
      <c r="F8" s="42" t="s">
        <v>8</v>
      </c>
      <c r="G8" s="42"/>
    </row>
    <row r="9" spans="2:10" ht="9.75" customHeight="1" x14ac:dyDescent="0.35"/>
    <row r="10" spans="2:10" ht="31.5" customHeight="1" x14ac:dyDescent="0.35">
      <c r="B10" s="35" t="s">
        <v>9</v>
      </c>
      <c r="C10" s="35"/>
      <c r="D10" s="35"/>
      <c r="E10" s="35"/>
      <c r="F10" s="35"/>
      <c r="G10" s="35"/>
      <c r="H10" s="35"/>
    </row>
    <row r="11" spans="2:10" ht="19.5" customHeight="1" x14ac:dyDescent="0.35"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</row>
    <row r="12" spans="2:10" ht="21.75" customHeight="1" x14ac:dyDescent="0.35">
      <c r="B12" s="3" t="s">
        <v>17</v>
      </c>
      <c r="C12" s="4">
        <v>42</v>
      </c>
      <c r="D12" s="4">
        <v>8</v>
      </c>
      <c r="E12" s="4">
        <v>2</v>
      </c>
      <c r="F12" s="3">
        <f>C12+D12+E12</f>
        <v>52</v>
      </c>
      <c r="G12" s="3" t="str">
        <f>IF(C12=0,"N/A",TEXT(1-E12/C12,"0.0%"))</f>
        <v>95.2%</v>
      </c>
      <c r="H12" s="5" t="s">
        <v>18</v>
      </c>
    </row>
    <row r="13" spans="2:10" ht="21.75" customHeight="1" x14ac:dyDescent="0.35">
      <c r="B13" s="6" t="s">
        <v>19</v>
      </c>
      <c r="C13" s="7">
        <v>14</v>
      </c>
      <c r="D13" s="7">
        <v>8</v>
      </c>
      <c r="E13" s="7">
        <v>0</v>
      </c>
      <c r="F13" s="6">
        <f>C13+D13+E13</f>
        <v>22</v>
      </c>
      <c r="G13" s="6" t="str">
        <f>IF(C13=0,"N/A",TEXT(1-E13/C13,"0.0%"))</f>
        <v>100.0%</v>
      </c>
      <c r="H13" s="5" t="s">
        <v>18</v>
      </c>
    </row>
    <row r="14" spans="2:10" ht="21.75" customHeight="1" x14ac:dyDescent="0.35">
      <c r="B14" s="3" t="s">
        <v>20</v>
      </c>
      <c r="C14" s="4">
        <v>7</v>
      </c>
      <c r="D14" s="4">
        <v>2</v>
      </c>
      <c r="E14" s="4">
        <v>0</v>
      </c>
      <c r="F14" s="3">
        <f>C14+D14+E14</f>
        <v>9</v>
      </c>
      <c r="G14" s="3" t="str">
        <f>IF(C14=0,"N/A",TEXT(1-E14/C14,"0.0%"))</f>
        <v>100.0%</v>
      </c>
      <c r="H14" s="8" t="s">
        <v>18</v>
      </c>
      <c r="J14" s="1" t="s">
        <v>21</v>
      </c>
    </row>
    <row r="15" spans="2:10" ht="21.75" customHeight="1" thickBot="1" x14ac:dyDescent="0.4">
      <c r="B15" s="6" t="s">
        <v>22</v>
      </c>
      <c r="C15" s="7">
        <v>2</v>
      </c>
      <c r="D15" s="7">
        <v>2</v>
      </c>
      <c r="E15" s="7">
        <v>0</v>
      </c>
      <c r="F15" s="6">
        <f>C15+D15+E15</f>
        <v>4</v>
      </c>
      <c r="G15" s="6" t="str">
        <f>IF(C15=0,"N/A",TEXT(1-E15/C15,"0.0%"))</f>
        <v>100.0%</v>
      </c>
      <c r="H15" s="5" t="s">
        <v>18</v>
      </c>
    </row>
    <row r="16" spans="2:10" ht="24" customHeight="1" thickBot="1" x14ac:dyDescent="0.4">
      <c r="B16" s="9" t="s">
        <v>23</v>
      </c>
      <c r="C16" s="9">
        <f>SUM(C12:C15)</f>
        <v>65</v>
      </c>
      <c r="D16" s="9">
        <f>SUM(D12:D15)</f>
        <v>20</v>
      </c>
      <c r="E16" s="9">
        <f>SUM(E12:E15)</f>
        <v>2</v>
      </c>
      <c r="F16" s="9">
        <f>SUM(F12:F15)</f>
        <v>87</v>
      </c>
      <c r="G16" s="9" t="str">
        <f>TEXT(1-E16/C16,"0.0%")</f>
        <v>96.9%</v>
      </c>
      <c r="H16" s="9"/>
    </row>
    <row r="17" spans="2:8" ht="18" customHeight="1" x14ac:dyDescent="0.35"/>
    <row r="18" spans="2:8" ht="27.75" customHeight="1" x14ac:dyDescent="0.35">
      <c r="B18" s="35" t="s">
        <v>24</v>
      </c>
      <c r="C18" s="35"/>
      <c r="D18" s="35"/>
      <c r="E18" s="35"/>
      <c r="F18" s="35"/>
      <c r="G18" s="35"/>
      <c r="H18" s="35"/>
    </row>
    <row r="19" spans="2:8" ht="21.75" customHeight="1" x14ac:dyDescent="0.35">
      <c r="B19" s="36" t="s">
        <v>25</v>
      </c>
      <c r="C19" s="36"/>
      <c r="D19" s="36" t="s">
        <v>26</v>
      </c>
      <c r="E19" s="36"/>
      <c r="F19" s="36" t="s">
        <v>27</v>
      </c>
      <c r="G19" s="36"/>
      <c r="H19" s="36"/>
    </row>
    <row r="20" spans="2:8" ht="19.5" customHeight="1" x14ac:dyDescent="0.35">
      <c r="B20" s="31" t="s">
        <v>28</v>
      </c>
      <c r="C20" s="31"/>
      <c r="D20" s="32">
        <v>0.69199999999999995</v>
      </c>
      <c r="E20" s="33"/>
      <c r="F20" s="34" t="s">
        <v>29</v>
      </c>
      <c r="G20" s="34"/>
      <c r="H20" s="34"/>
    </row>
    <row r="21" spans="2:8" ht="19.5" customHeight="1" x14ac:dyDescent="0.35">
      <c r="B21" s="25" t="s">
        <v>30</v>
      </c>
      <c r="C21" s="25"/>
      <c r="D21" s="26">
        <v>0.9</v>
      </c>
      <c r="E21" s="27"/>
      <c r="F21" s="29" t="s">
        <v>31</v>
      </c>
      <c r="G21" s="29"/>
      <c r="H21" s="29"/>
    </row>
    <row r="22" spans="2:8" ht="19.5" customHeight="1" x14ac:dyDescent="0.35">
      <c r="B22" s="31" t="s">
        <v>32</v>
      </c>
      <c r="C22" s="31"/>
      <c r="D22" s="32">
        <v>0.96899999999999997</v>
      </c>
      <c r="E22" s="33"/>
      <c r="F22" s="34" t="s">
        <v>33</v>
      </c>
      <c r="G22" s="34"/>
      <c r="H22" s="34"/>
    </row>
    <row r="23" spans="2:8" ht="19.5" customHeight="1" x14ac:dyDescent="0.35">
      <c r="B23" s="25" t="s">
        <v>34</v>
      </c>
      <c r="C23" s="25"/>
      <c r="D23" s="26">
        <v>0.96899999999999997</v>
      </c>
      <c r="E23" s="27"/>
      <c r="F23" s="28" t="s">
        <v>35</v>
      </c>
      <c r="G23" s="29"/>
      <c r="H23" s="29"/>
    </row>
    <row r="24" spans="2:8" ht="18" customHeight="1" x14ac:dyDescent="0.35"/>
    <row r="25" spans="2:8" ht="18" customHeight="1" x14ac:dyDescent="0.35"/>
    <row r="26" spans="2:8" ht="19.5" customHeight="1" x14ac:dyDescent="0.35">
      <c r="B26" s="30" t="s">
        <v>36</v>
      </c>
      <c r="C26" s="30"/>
      <c r="D26" s="30"/>
      <c r="E26" s="30"/>
      <c r="F26" s="30"/>
      <c r="G26" s="30"/>
      <c r="H26" s="30"/>
    </row>
    <row r="27" spans="2:8" ht="18" customHeight="1" x14ac:dyDescent="0.35"/>
    <row r="28" spans="2:8" ht="18" customHeight="1" x14ac:dyDescent="0.35"/>
    <row r="29" spans="2:8" ht="9.75" customHeight="1" x14ac:dyDescent="0.35"/>
    <row r="30" spans="2:8" ht="18" customHeight="1" x14ac:dyDescent="0.35"/>
    <row r="31" spans="2:8" ht="18" customHeight="1" x14ac:dyDescent="0.35"/>
    <row r="32" spans="2:8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</sheetData>
  <mergeCells count="31">
    <mergeCell ref="B1:H1"/>
    <mergeCell ref="B2:H2"/>
    <mergeCell ref="B3:H3"/>
    <mergeCell ref="B5:H5"/>
    <mergeCell ref="B6:C6"/>
    <mergeCell ref="D6:E6"/>
    <mergeCell ref="F6:G6"/>
    <mergeCell ref="B20:C20"/>
    <mergeCell ref="D20:E20"/>
    <mergeCell ref="F20:H20"/>
    <mergeCell ref="B7:C7"/>
    <mergeCell ref="D7:E7"/>
    <mergeCell ref="F7:G7"/>
    <mergeCell ref="B8:C8"/>
    <mergeCell ref="D8:E8"/>
    <mergeCell ref="F8:G8"/>
    <mergeCell ref="B10:H10"/>
    <mergeCell ref="B18:H18"/>
    <mergeCell ref="B19:C19"/>
    <mergeCell ref="D19:E19"/>
    <mergeCell ref="F19:H19"/>
    <mergeCell ref="B23:C23"/>
    <mergeCell ref="D23:E23"/>
    <mergeCell ref="F23:H23"/>
    <mergeCell ref="B26:H26"/>
    <mergeCell ref="B21:C21"/>
    <mergeCell ref="D21:E21"/>
    <mergeCell ref="F21:H21"/>
    <mergeCell ref="B22:C22"/>
    <mergeCell ref="D22:E22"/>
    <mergeCell ref="F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2F26-4EB0-42C3-AE27-F5D14804D8EA}">
  <dimension ref="A1:G59"/>
  <sheetViews>
    <sheetView showGridLines="0" topLeftCell="A10" zoomScaleNormal="100" workbookViewId="0">
      <selection activeCell="F15" sqref="F15"/>
    </sheetView>
  </sheetViews>
  <sheetFormatPr defaultColWidth="8.6328125" defaultRowHeight="14.5" x14ac:dyDescent="0.35"/>
  <cols>
    <col min="1" max="1" width="3" style="1" customWidth="1"/>
    <col min="2" max="2" width="20" style="1" customWidth="1"/>
    <col min="3" max="3" width="18" style="1" customWidth="1"/>
    <col min="4" max="6" width="14" style="1" customWidth="1"/>
    <col min="7" max="7" width="3" style="1" customWidth="1"/>
    <col min="8" max="16384" width="8.6328125" style="1"/>
  </cols>
  <sheetData>
    <row r="1" spans="1:7" ht="18" customHeight="1" x14ac:dyDescent="0.35">
      <c r="A1" s="10"/>
      <c r="B1" s="10"/>
      <c r="C1" s="10"/>
      <c r="D1" s="10"/>
      <c r="E1" s="10"/>
      <c r="F1" s="10"/>
      <c r="G1" s="10"/>
    </row>
    <row r="2" spans="1:7" ht="37.5" customHeight="1" x14ac:dyDescent="0.35">
      <c r="A2" s="10"/>
      <c r="B2" s="49" t="s">
        <v>37</v>
      </c>
      <c r="C2" s="49"/>
      <c r="D2" s="49"/>
      <c r="E2" s="49"/>
      <c r="F2" s="49"/>
      <c r="G2" s="10"/>
    </row>
    <row r="3" spans="1:7" ht="18" customHeight="1" x14ac:dyDescent="0.35">
      <c r="A3" s="10"/>
      <c r="B3" s="50" t="s">
        <v>38</v>
      </c>
      <c r="C3" s="50"/>
      <c r="D3" s="50"/>
      <c r="E3" s="50"/>
      <c r="F3" s="50"/>
      <c r="G3" s="10"/>
    </row>
    <row r="4" spans="1:7" ht="18" customHeight="1" x14ac:dyDescent="0.35"/>
    <row r="5" spans="1:7" ht="21.75" customHeight="1" x14ac:dyDescent="0.35">
      <c r="B5" s="11" t="s">
        <v>10</v>
      </c>
      <c r="C5" s="11" t="s">
        <v>39</v>
      </c>
      <c r="D5" s="11" t="s">
        <v>40</v>
      </c>
      <c r="E5" s="11" t="s">
        <v>41</v>
      </c>
      <c r="F5" s="11" t="s">
        <v>42</v>
      </c>
    </row>
    <row r="6" spans="1:7" ht="19.5" customHeight="1" x14ac:dyDescent="0.35">
      <c r="B6" s="12" t="s">
        <v>17</v>
      </c>
      <c r="C6" s="12" t="s">
        <v>43</v>
      </c>
      <c r="D6" s="12">
        <v>42</v>
      </c>
      <c r="E6" s="13" t="s">
        <v>44</v>
      </c>
      <c r="F6" s="12" t="s">
        <v>45</v>
      </c>
    </row>
    <row r="7" spans="1:7" ht="19.5" customHeight="1" x14ac:dyDescent="0.35">
      <c r="B7" s="12" t="s">
        <v>19</v>
      </c>
      <c r="C7" s="12" t="s">
        <v>43</v>
      </c>
      <c r="D7" s="12">
        <v>14</v>
      </c>
      <c r="E7" s="14" t="s">
        <v>46</v>
      </c>
      <c r="F7" s="12" t="s">
        <v>45</v>
      </c>
    </row>
    <row r="8" spans="1:7" ht="19.5" customHeight="1" x14ac:dyDescent="0.35">
      <c r="B8" s="12" t="s">
        <v>20</v>
      </c>
      <c r="C8" s="12" t="s">
        <v>43</v>
      </c>
      <c r="D8" s="12">
        <v>7</v>
      </c>
      <c r="E8" s="15" t="s">
        <v>47</v>
      </c>
      <c r="F8" s="12" t="s">
        <v>45</v>
      </c>
    </row>
    <row r="9" spans="1:7" ht="19.5" customHeight="1" x14ac:dyDescent="0.35">
      <c r="B9" s="12" t="s">
        <v>22</v>
      </c>
      <c r="C9" s="12" t="s">
        <v>43</v>
      </c>
      <c r="D9" s="12">
        <v>3</v>
      </c>
      <c r="E9" s="16" t="s">
        <v>48</v>
      </c>
      <c r="F9" s="12" t="s">
        <v>45</v>
      </c>
    </row>
    <row r="10" spans="1:7" ht="19.5" customHeight="1" x14ac:dyDescent="0.35">
      <c r="B10" s="17" t="s">
        <v>17</v>
      </c>
      <c r="C10" s="17" t="s">
        <v>49</v>
      </c>
      <c r="D10" s="17">
        <v>8</v>
      </c>
      <c r="E10" s="18" t="s">
        <v>47</v>
      </c>
      <c r="F10" s="17" t="s">
        <v>45</v>
      </c>
    </row>
    <row r="11" spans="1:7" ht="19.5" customHeight="1" x14ac:dyDescent="0.35">
      <c r="B11" s="17" t="s">
        <v>19</v>
      </c>
      <c r="C11" s="17" t="s">
        <v>49</v>
      </c>
      <c r="D11" s="17">
        <v>8</v>
      </c>
      <c r="E11" s="18" t="s">
        <v>47</v>
      </c>
      <c r="F11" s="17" t="s">
        <v>45</v>
      </c>
    </row>
    <row r="12" spans="1:7" ht="19.5" customHeight="1" x14ac:dyDescent="0.35">
      <c r="B12" s="17" t="s">
        <v>20</v>
      </c>
      <c r="C12" s="17" t="s">
        <v>49</v>
      </c>
      <c r="D12" s="17">
        <v>2</v>
      </c>
      <c r="E12" s="19" t="s">
        <v>48</v>
      </c>
      <c r="F12" s="17" t="s">
        <v>45</v>
      </c>
    </row>
    <row r="13" spans="1:7" ht="19.5" customHeight="1" x14ac:dyDescent="0.35">
      <c r="B13" s="17" t="s">
        <v>22</v>
      </c>
      <c r="C13" s="17" t="s">
        <v>49</v>
      </c>
      <c r="D13" s="17">
        <v>2</v>
      </c>
      <c r="E13" s="19" t="s">
        <v>48</v>
      </c>
      <c r="F13" s="17" t="s">
        <v>45</v>
      </c>
    </row>
    <row r="14" spans="1:7" ht="19.5" customHeight="1" x14ac:dyDescent="0.35">
      <c r="B14" s="20" t="s">
        <v>17</v>
      </c>
      <c r="C14" s="20" t="s">
        <v>50</v>
      </c>
      <c r="D14" s="20">
        <v>2</v>
      </c>
      <c r="E14" s="21" t="s">
        <v>48</v>
      </c>
      <c r="F14" s="20" t="s">
        <v>45</v>
      </c>
    </row>
    <row r="15" spans="1:7" ht="19.5" customHeight="1" x14ac:dyDescent="0.35">
      <c r="B15" s="20" t="s">
        <v>19</v>
      </c>
      <c r="C15" s="20" t="s">
        <v>50</v>
      </c>
      <c r="D15" s="20">
        <v>0</v>
      </c>
      <c r="E15" s="21" t="s">
        <v>48</v>
      </c>
      <c r="F15" s="20" t="s">
        <v>51</v>
      </c>
    </row>
    <row r="16" spans="1:7" ht="19.5" customHeight="1" x14ac:dyDescent="0.35">
      <c r="B16" s="20" t="s">
        <v>20</v>
      </c>
      <c r="C16" s="20" t="s">
        <v>50</v>
      </c>
      <c r="D16" s="20">
        <v>0</v>
      </c>
      <c r="E16" s="21" t="s">
        <v>48</v>
      </c>
      <c r="F16" s="20" t="s">
        <v>51</v>
      </c>
    </row>
    <row r="17" spans="2:6" ht="19.5" customHeight="1" x14ac:dyDescent="0.35">
      <c r="B17" s="20" t="s">
        <v>22</v>
      </c>
      <c r="C17" s="20" t="s">
        <v>50</v>
      </c>
      <c r="D17" s="20">
        <v>0</v>
      </c>
      <c r="E17" s="22" t="s">
        <v>52</v>
      </c>
      <c r="F17" s="20" t="s">
        <v>51</v>
      </c>
    </row>
    <row r="18" spans="2:6" ht="18" customHeight="1" x14ac:dyDescent="0.35"/>
    <row r="19" spans="2:6" ht="18" customHeight="1" x14ac:dyDescent="0.35"/>
    <row r="20" spans="2:6" ht="18" customHeight="1" x14ac:dyDescent="0.35"/>
    <row r="21" spans="2:6" ht="18" customHeight="1" x14ac:dyDescent="0.35"/>
    <row r="22" spans="2:6" ht="18" customHeight="1" x14ac:dyDescent="0.35"/>
    <row r="23" spans="2:6" ht="18" customHeight="1" x14ac:dyDescent="0.35"/>
    <row r="24" spans="2:6" ht="18" customHeight="1" x14ac:dyDescent="0.35"/>
    <row r="25" spans="2:6" ht="18" customHeight="1" x14ac:dyDescent="0.35"/>
    <row r="26" spans="2:6" ht="18" customHeight="1" x14ac:dyDescent="0.35"/>
    <row r="27" spans="2:6" ht="18" customHeight="1" x14ac:dyDescent="0.35"/>
    <row r="28" spans="2:6" ht="18" customHeight="1" x14ac:dyDescent="0.35"/>
    <row r="29" spans="2:6" ht="18" customHeight="1" x14ac:dyDescent="0.35"/>
    <row r="30" spans="2:6" ht="18" customHeight="1" x14ac:dyDescent="0.35"/>
    <row r="31" spans="2:6" ht="18" customHeight="1" x14ac:dyDescent="0.35"/>
    <row r="32" spans="2:6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9E05-AE80-484D-ABD3-86C64EA33629}">
  <dimension ref="B1:M79"/>
  <sheetViews>
    <sheetView showGridLines="0" zoomScale="73" zoomScaleNormal="100" workbookViewId="0">
      <selection activeCell="B3" sqref="B3"/>
    </sheetView>
  </sheetViews>
  <sheetFormatPr defaultColWidth="8.6328125" defaultRowHeight="14.5" x14ac:dyDescent="0.35"/>
  <cols>
    <col min="1" max="1" width="8.6328125" style="1"/>
    <col min="2" max="2" width="20" style="1" customWidth="1"/>
    <col min="3" max="5" width="16" style="1" customWidth="1"/>
    <col min="6" max="16384" width="8.6328125" style="1"/>
  </cols>
  <sheetData>
    <row r="1" spans="2:13" ht="18" customHeight="1" x14ac:dyDescent="0.35">
      <c r="B1" s="23"/>
      <c r="C1" s="23"/>
      <c r="D1" s="23"/>
      <c r="E1" s="23"/>
      <c r="L1" s="24"/>
      <c r="M1" s="24"/>
    </row>
    <row r="2" spans="2:13" ht="37.5" customHeight="1" x14ac:dyDescent="0.35">
      <c r="B2" s="51" t="s">
        <v>53</v>
      </c>
      <c r="C2" s="51"/>
      <c r="D2" s="51"/>
      <c r="E2" s="51"/>
    </row>
    <row r="3" spans="2:13" ht="18" customHeight="1" x14ac:dyDescent="0.35">
      <c r="B3" s="23"/>
      <c r="C3" s="23"/>
      <c r="D3" s="23"/>
      <c r="E3" s="23"/>
    </row>
    <row r="4" spans="2:13" ht="18" customHeight="1" x14ac:dyDescent="0.35"/>
    <row r="5" spans="2:13" ht="24" customHeight="1" x14ac:dyDescent="0.35">
      <c r="B5" s="52" t="s">
        <v>54</v>
      </c>
      <c r="C5" s="52"/>
      <c r="D5" s="52"/>
      <c r="E5" s="52"/>
    </row>
    <row r="6" spans="2:13" ht="21.75" customHeight="1" x14ac:dyDescent="0.35">
      <c r="B6" s="11" t="s">
        <v>10</v>
      </c>
      <c r="C6" s="11" t="s">
        <v>3</v>
      </c>
      <c r="D6" s="11" t="s">
        <v>4</v>
      </c>
      <c r="E6" s="11" t="s">
        <v>5</v>
      </c>
    </row>
    <row r="7" spans="2:13" ht="19.5" customHeight="1" x14ac:dyDescent="0.35">
      <c r="B7" s="3" t="s">
        <v>17</v>
      </c>
      <c r="C7" s="3">
        <v>42</v>
      </c>
      <c r="D7" s="3">
        <v>8</v>
      </c>
      <c r="E7" s="3">
        <v>2</v>
      </c>
    </row>
    <row r="8" spans="2:13" ht="19.5" customHeight="1" x14ac:dyDescent="0.35">
      <c r="B8" s="6" t="s">
        <v>19</v>
      </c>
      <c r="C8" s="6">
        <v>14</v>
      </c>
      <c r="D8" s="6">
        <v>8</v>
      </c>
      <c r="E8" s="6">
        <v>0</v>
      </c>
    </row>
    <row r="9" spans="2:13" ht="19.5" customHeight="1" x14ac:dyDescent="0.35">
      <c r="B9" s="3" t="s">
        <v>20</v>
      </c>
      <c r="C9" s="3">
        <v>7</v>
      </c>
      <c r="D9" s="3">
        <v>2</v>
      </c>
      <c r="E9" s="3">
        <v>0</v>
      </c>
    </row>
    <row r="10" spans="2:13" ht="19.5" customHeight="1" x14ac:dyDescent="0.35">
      <c r="B10" s="6" t="s">
        <v>22</v>
      </c>
      <c r="C10" s="6">
        <v>0</v>
      </c>
      <c r="D10" s="6">
        <v>2</v>
      </c>
      <c r="E10" s="6">
        <v>0</v>
      </c>
    </row>
    <row r="11" spans="2:13" ht="18" customHeight="1" x14ac:dyDescent="0.35"/>
    <row r="12" spans="2:13" ht="18" customHeight="1" x14ac:dyDescent="0.35"/>
    <row r="13" spans="2:13" ht="18" customHeight="1" x14ac:dyDescent="0.35"/>
    <row r="14" spans="2:13" ht="18" customHeight="1" x14ac:dyDescent="0.35"/>
    <row r="15" spans="2:13" ht="18" customHeight="1" x14ac:dyDescent="0.35"/>
    <row r="16" spans="2:13" ht="18" customHeight="1" x14ac:dyDescent="0.35"/>
    <row r="17" ht="18" customHeight="1" x14ac:dyDescent="0.35"/>
    <row r="18" ht="18" customHeight="1" x14ac:dyDescent="0.35"/>
    <row r="19" ht="18" customHeight="1" x14ac:dyDescent="0.35"/>
    <row r="20" ht="18" customHeight="1" x14ac:dyDescent="0.35"/>
    <row r="21" ht="18" customHeight="1" x14ac:dyDescent="0.35"/>
    <row r="22" ht="18" customHeight="1" x14ac:dyDescent="0.35"/>
    <row r="23" ht="18" customHeight="1" x14ac:dyDescent="0.35"/>
    <row r="24" ht="18" customHeight="1" x14ac:dyDescent="0.35"/>
    <row r="25" ht="18" customHeight="1" x14ac:dyDescent="0.35"/>
    <row r="26" ht="18" customHeight="1" x14ac:dyDescent="0.35"/>
    <row r="27" ht="18" customHeight="1" x14ac:dyDescent="0.35"/>
    <row r="28" ht="18" customHeight="1" x14ac:dyDescent="0.35"/>
    <row r="29" ht="18" customHeight="1" x14ac:dyDescent="0.35"/>
    <row r="30" ht="18" customHeight="1" x14ac:dyDescent="0.35"/>
    <row r="31" ht="18" customHeight="1" x14ac:dyDescent="0.35"/>
    <row r="32" ht="18" customHeight="1" x14ac:dyDescent="0.35"/>
    <row r="33" ht="18" customHeight="1" x14ac:dyDescent="0.35"/>
    <row r="34" ht="18" customHeight="1" x14ac:dyDescent="0.35"/>
    <row r="35" ht="24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</sheetData>
  <mergeCells count="2">
    <mergeCell ref="B2:E2"/>
    <mergeCell ref="B5:E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Executive Dashboard</vt:lpstr>
      <vt:lpstr>📋 Raw Data</vt:lpstr>
      <vt:lpstr>📈 Charts &amp;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Ahmad</dc:creator>
  <cp:lastModifiedBy>21014198-065</cp:lastModifiedBy>
  <dcterms:created xsi:type="dcterms:W3CDTF">2026-05-07T08:26:55Z</dcterms:created>
  <dcterms:modified xsi:type="dcterms:W3CDTF">2026-07-04T17:56:47Z</dcterms:modified>
</cp:coreProperties>
</file>